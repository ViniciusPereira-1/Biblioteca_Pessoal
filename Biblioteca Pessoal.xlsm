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"/>
    </mc:Choice>
  </mc:AlternateContent>
  <xr:revisionPtr revIDLastSave="0" documentId="13_ncr:1_{5F3F9772-63BC-4AEF-8AE1-28220A7C13ED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Dados'!$A$3:$A$5023),1)</definedName>
  </definedNames>
  <calcPr calcId="18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3" i="1"/>
  <c r="E4" i="4" l="1"/>
  <c r="H4" i="4"/>
  <c r="B4" i="4"/>
  <c r="Q19" i="4"/>
  <c r="L19" i="4" s="1"/>
  <c r="H19" i="4"/>
  <c r="C19" i="4" s="1"/>
  <c r="Q18" i="4"/>
  <c r="L18" i="4" s="1"/>
  <c r="H18" i="4"/>
  <c r="C18" i="4" s="1"/>
  <c r="Q17" i="4"/>
  <c r="L17" i="4" s="1"/>
  <c r="H17" i="4"/>
  <c r="C17" i="4" s="1"/>
  <c r="Q16" i="4"/>
  <c r="L16" i="4" s="1"/>
  <c r="H16" i="4"/>
  <c r="C16" i="4" s="1"/>
  <c r="Q15" i="4"/>
  <c r="L15" i="4" s="1"/>
  <c r="H15" i="4"/>
  <c r="C15" i="4" s="1"/>
  <c r="Q14" i="4"/>
  <c r="L14" i="4" s="1"/>
  <c r="H14" i="4"/>
  <c r="C14" i="4" s="1"/>
  <c r="Q13" i="4"/>
  <c r="L13" i="4" s="1"/>
  <c r="H13" i="4"/>
  <c r="C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H101" i="2" a="1"/>
  <c r="H101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A76" i="2" a="1"/>
  <c r="A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H51" i="2" a="1"/>
  <c r="H51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 s="1"/>
  <c r="A58" i="2" a="1"/>
  <c r="A58" i="2" s="1"/>
  <c r="A59" i="2" a="1"/>
  <c r="A59" i="2" s="1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 s="1"/>
  <c r="A66" i="2" a="1"/>
  <c r="A66" i="2" s="1"/>
  <c r="A67" i="2" a="1"/>
  <c r="A67" i="2" s="1"/>
  <c r="A68" i="2" a="1"/>
  <c r="A68" i="2" s="1"/>
  <c r="A69" i="2" a="1"/>
  <c r="A69" i="2" s="1"/>
  <c r="A70" i="2" a="1"/>
  <c r="A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7" i="2" a="1"/>
  <c r="A27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26" i="2" a="1"/>
  <c r="A26" i="2" s="1"/>
  <c r="B6" i="2"/>
  <c r="B18" i="2"/>
  <c r="B17" i="2"/>
  <c r="B16" i="2"/>
  <c r="B15" i="2"/>
  <c r="B14" i="2"/>
  <c r="B13" i="2"/>
  <c r="B12" i="2"/>
  <c r="B11" i="2"/>
  <c r="B10" i="2"/>
  <c r="B9" i="2"/>
  <c r="B8" i="2"/>
  <c r="B7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<sst xmlns="http://schemas.openxmlformats.org/spreadsheetml/2006/main" count="2003" uniqueCount="752">
  <si>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</si>
  <si>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</si>
  <si>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</si>
  <si>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</si>
  <si>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</si>
  <si>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</si>
  <si>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</si>
  <si>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</si>
  <si>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</si>
  <si>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</si>
  <si>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</si>
  <si>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</si>
  <si>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</si>
  <si>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</si>
  <si>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</si>
  <si>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</si>
  <si>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</si>
  <si>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</si>
  <si>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</si>
  <si>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</si>
  <si>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</si>
  <si>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</si>
  <si>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</si>
  <si>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</si>
  <si>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</si>
  <si>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</si>
  <si>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</si>
  <si>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</si>
  <si>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</si>
  <si>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</si>
  <si>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</si>
  <si>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</si>
  <si>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</si>
  <si>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</si>
  <si>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</si>
  <si>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</si>
  <si>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</si>
  <si>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</si>
  <si>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</si>
  <si>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</si>
  <si>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</si>
  <si>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</si>
  <si>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</si>
  <si>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</si>
  <si>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</si>
  <si>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</si>
  <si>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</si>
  <si>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</si>
  <si>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</si>
  <si>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</si>
  <si>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</si>
  <si>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</si>
  <si>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</si>
  <si>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</si>
  <si>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</si>
  <si>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</si>
  <si>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</si>
  <si>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</si>
  <si>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</si>
  <si>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</si>
  <si>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</si>
  <si>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</si>
  <si>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</si>
  <si>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</si>
  <si>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</si>
  <si>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</si>
  <si>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</si>
  <si>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</si>
  <si>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</si>
  <si>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</si>
  <si>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</si>
  <si>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</si>
  <si>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</si>
  <si>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</si>
  <si>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</si>
  <si>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</si>
  <si>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</si>
  <si>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</si>
  <si>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</si>
  <si>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</si>
  <si>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</si>
  <si>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</si>
  <si>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</si>
  <si>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</si>
  <si>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</si>
  <si>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</si>
  <si>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</si>
  <si>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</si>
  <si>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</si>
  <si>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</si>
  <si>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</si>
  <si>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</si>
  <si>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</si>
  <si>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</si>
  <si>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</si>
  <si>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</si>
  <si>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</si>
  <si>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</si>
  <si>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Arthu Schopenhauer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</si>
  <si>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</si>
  <si>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</si>
  <si>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</si>
  <si>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</si>
  <si>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</si>
  <si>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</si>
  <si>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</si>
  <si>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</si>
  <si>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</si>
  <si>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</si>
  <si>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</si>
  <si>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</si>
  <si>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</si>
  <si>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</si>
  <si>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</si>
  <si>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</si>
  <si>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</si>
  <si>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</si>
  <si>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</si>
  <si>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</si>
  <si>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</si>
  <si>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</si>
  <si>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</si>
  <si>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</si>
  <si>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</si>
  <si>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</si>
  <si>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</si>
  <si>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</si>
  <si>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</si>
  <si>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</si>
  <si>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</si>
  <si>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</si>
  <si>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</si>
  <si>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</si>
  <si>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</si>
  <si>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</si>
  <si>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</si>
  <si>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</si>
  <si>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</si>
  <si>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</si>
  <si>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</si>
  <si>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</si>
  <si>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</si>
  <si>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</si>
  <si>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</si>
  <si>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</si>
  <si>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</si>
  <si>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</si>
  <si>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</si>
  <si>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</si>
  <si>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</si>
  <si>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</si>
  <si>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</si>
  <si>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</si>
  <si>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</si>
  <si>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</si>
  <si>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</si>
  <si>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</si>
  <si>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</si>
  <si>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</si>
  <si>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</si>
  <si>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</si>
  <si>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</si>
  <si>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</si>
  <si>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</si>
  <si>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</si>
  <si>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</si>
  <si>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</si>
  <si>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</si>
  <si>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</si>
  <si>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</si>
  <si>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</si>
  <si>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</si>
  <si>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</si>
  <si>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</si>
  <si>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</si>
  <si>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</si>
  <si>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</si>
  <si>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</si>
  <si>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</si>
  <si>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</si>
  <si>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</si>
  <si>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</si>
  <si>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</si>
  <si>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</si>
  <si>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</si>
  <si>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</si>
  <si>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</si>
  <si>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</si>
  <si>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</si>
  <si>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</si>
  <si>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</si>
  <si>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</si>
  <si>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</si>
  <si>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</si>
  <si>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</si>
  <si>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</si>
  <si>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</si>
  <si>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</si>
  <si>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</si>
  <si>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</si>
  <si>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</si>
  <si>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</si>
  <si>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</si>
  <si>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</si>
  <si>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</si>
  <si>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</si>
  <si>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</si>
  <si>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</si>
  <si>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</si>
  <si>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</si>
  <si>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</si>
  <si>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</si>
  <si>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</si>
  <si>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</si>
  <si>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</si>
  <si>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</si>
  <si>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</si>
  <si>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</si>
  <si>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</si>
  <si>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</si>
  <si>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</si>
  <si>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</si>
  <si>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</si>
  <si>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</si>
  <si>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</si>
  <si>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</si>
  <si>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</si>
  <si>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</si>
  <si>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Canada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</si>
  <si>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</si>
  <si>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</si>
  <si>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</si>
  <si>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</si>
  <si>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</si>
  <si>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</si>
  <si>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</si>
  <si>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</si>
  <si>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</si>
  <si>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</si>
  <si>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</si>
  <si>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</si>
  <si>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</si>
  <si>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</si>
  <si>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</si>
  <si>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</si>
  <si>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</si>
  <si>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</si>
  <si>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</si>
  <si>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</si>
  <si>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</si>
  <si>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</si>
  <si>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</si>
  <si>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</si>
  <si>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</si>
  <si>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</si>
  <si>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</si>
  <si>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</si>
  <si>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</si>
  <si>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</si>
  <si>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</si>
  <si>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</si>
  <si>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</si>
  <si>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</si>
  <si>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</si>
  <si>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</si>
  <si>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</si>
  <si>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</si>
  <si>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</si>
  <si>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</si>
  <si>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</si>
  <si>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</si>
  <si>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</si>
  <si>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</si>
  <si>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</si>
  <si>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</si>
  <si>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</si>
  <si>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</si>
  <si>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</si>
  <si>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</si>
  <si>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</si>
  <si>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</si>
  <si>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</si>
  <si>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</si>
  <si>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</si>
  <si>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</si>
  <si>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</si>
  <si>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</si>
  <si>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</si>
  <si>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</si>
  <si>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</si>
  <si>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</si>
  <si>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</si>
  <si>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</si>
  <si>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</si>
  <si>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</si>
  <si>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</si>
  <si>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</si>
  <si>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</si>
  <si>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</si>
  <si>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</si>
  <si>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</si>
  <si>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</si>
  <si>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</si>
  <si>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</si>
  <si>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</si>
  <si>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</si>
  <si>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</si>
  <si>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</si>
  <si>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</si>
  <si>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</si>
  <si>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</si>
  <si>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</si>
  <si>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</si>
  <si>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</si>
  <si>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</si>
  <si>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</si>
  <si>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</si>
  <si>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</si>
  <si>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</si>
  <si>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</si>
  <si>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</si>
  <si>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</si>
  <si>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</si>
  <si>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</si>
  <si>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</si>
  <si>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</si>
  <si>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</si>
  <si>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</si>
  <si>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</si>
  <si>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</si>
  <si>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</si>
  <si>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</si>
  <si>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</si>
  <si>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</si>
  <si>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</si>
  <si>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</si>
  <si>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</si>
  <si>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</si>
  <si>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</si>
  <si>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</si>
  <si>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</si>
  <si>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</si>
  <si>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</si>
  <si>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</si>
  <si>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</si>
  <si>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</si>
  <si>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</si>
  <si>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</si>
  <si>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</si>
  <si>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</si>
  <si>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</si>
  <si>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</si>
  <si>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</si>
  <si>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</si>
  <si>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</si>
  <si>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</si>
  <si>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</si>
  <si>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</si>
  <si>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</si>
  <si>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</si>
  <si>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</si>
  <si>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</si>
  <si>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</si>
  <si>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</si>
  <si>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</si>
  <si>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</si>
  <si>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</si>
  <si>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</si>
  <si>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</si>
  <si>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</si>
  <si>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</si>
  <si>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</si>
  <si>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</si>
  <si>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</si>
  <si>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</si>
  <si>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</si>
  <si>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</si>
  <si>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</si>
  <si>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</si>
  <si>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</si>
  <si>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</si>
  <si>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</si>
  <si>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</si>
  <si>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</si>
  <si>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</si>
  <si>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</si>
  <si>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</si>
  <si>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</si>
  <si>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</si>
  <si>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</si>
  <si>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</si>
  <si>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</si>
  <si>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</si>
  <si>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</si>
  <si>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</si>
  <si>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</si>
  <si>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</si>
  <si>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</si>
  <si>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</si>
  <si>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</si>
  <si>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</si>
  <si>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</si>
  <si>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</si>
  <si>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</si>
  <si>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</si>
  <si>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</si>
  <si>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</si>
  <si>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</si>
  <si>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</si>
  <si>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</si>
  <si>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</si>
  <si>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</si>
  <si>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</si>
  <si>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</si>
  <si>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</si>
  <si>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</si>
  <si>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</si>
  <si>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</si>
  <si>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</si>
  <si>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</si>
  <si>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</si>
  <si>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</si>
  <si>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</si>
  <si>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</si>
  <si>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</si>
  <si>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</si>
  <si>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</si>
  <si>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</si>
  <si>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</si>
  <si>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</si>
  <si>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</si>
  <si>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</si>
  <si>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</si>
  <si>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</si>
  <si>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</si>
  <si>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</si>
  <si>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</si>
  <si>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</si>
  <si>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</si>
  <si>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</si>
  <si>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</si>
  <si>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</si>
  <si>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</si>
  <si>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</si>
  <si>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</si>
  <si>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</si>
  <si>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</si>
  <si>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</si>
  <si>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</si>
  <si>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</si>
  <si>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</si>
  <si>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</si>
  <si>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</si>
  <si>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</si>
  <si>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</si>
  <si>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</si>
  <si>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</si>
  <si>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</si>
  <si>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</si>
  <si>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</si>
  <si>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</si>
  <si>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</si>
  <si>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</si>
  <si>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</si>
  <si>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</si>
  <si>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</si>
  <si>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</si>
  <si>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</si>
  <si>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</si>
  <si>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</si>
  <si>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</si>
  <si>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</si>
  <si>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</si>
  <si>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</si>
  <si>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</si>
  <si>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</si>
  <si>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</si>
  <si>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</si>
  <si>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</si>
  <si>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</si>
  <si>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</si>
  <si>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</si>
  <si>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</si>
  <si>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</si>
  <si>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</si>
  <si>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</si>
  <si>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</si>
  <si>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</si>
  <si>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</si>
  <si>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</si>
  <si>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</si>
  <si>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</si>
  <si>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</si>
  <si>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</si>
  <si>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</si>
  <si>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</si>
  <si>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</si>
  <si>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</si>
  <si>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</si>
  <si>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</si>
  <si>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</si>
  <si>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</si>
  <si>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</si>
  <si>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</si>
  <si>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</si>
  <si>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</si>
  <si>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</si>
  <si>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</si>
  <si>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</si>
  <si>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</si>
  <si>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</si>
  <si>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</si>
  <si>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</si>
  <si>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</si>
  <si>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</si>
  <si>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</si>
  <si>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</si>
  <si>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</si>
  <si>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</si>
  <si>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</si>
  <si>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</si>
  <si>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</si>
  <si>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</si>
  <si>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</si>
  <si>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</si>
  <si>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</si>
  <si>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</si>
  <si>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</si>
  <si>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</si>
  <si>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</si>
  <si>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</si>
  <si>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</si>
  <si>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</si>
  <si>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</si>
  <si>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</si>
  <si>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</si>
  <si>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</si>
  <si>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</si>
  <si>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</si>
  <si>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</si>
  <si>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</si>
  <si>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</si>
  <si>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</si>
  <si>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</si>
  <si>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</si>
  <si>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</si>
  <si>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</si>
  <si>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</si>
  <si>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</si>
  <si>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</si>
  <si>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</si>
  <si>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</si>
  <si>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</si>
  <si>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</si>
  <si>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</si>
  <si>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</si>
  <si>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</si>
  <si>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</si>
  <si>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</si>
  <si>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</si>
  <si>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</si>
  <si>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</si>
  <si>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</si>
  <si>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</si>
  <si>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</si>
  <si>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</si>
  <si>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</si>
  <si>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</si>
  <si>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</si>
  <si>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</si>
  <si>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</si>
  <si>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</si>
  <si>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</si>
  <si>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</si>
  <si>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</si>
  <si>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</si>
  <si>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</si>
  <si>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</si>
  <si>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</si>
  <si>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</si>
  <si>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</si>
  <si>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</si>
  <si>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</si>
  <si>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</si>
  <si>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</si>
  <si>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</si>
  <si>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</si>
  <si>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</si>
  <si>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</si>
  <si>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</si>
  <si>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</si>
  <si>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</si>
  <si>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</si>
  <si>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</si>
  <si>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</si>
  <si>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</si>
  <si>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</si>
  <si>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</si>
  <si>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</si>
  <si>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</si>
  <si>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</si>
  <si>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</si>
  <si>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</si>
  <si>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</si>
  <si>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</si>
  <si>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</si>
  <si>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</si>
  <si>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</si>
  <si>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</si>
  <si>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</si>
  <si>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</si>
  <si>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</si>
  <si>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</si>
  <si>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</si>
  <si>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</si>
  <si>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</si>
  <si>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</si>
  <si>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</si>
  <si>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</si>
  <si>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</si>
  <si>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</si>
  <si>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</si>
  <si>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</si>
  <si>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</si>
  <si>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</si>
  <si>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</si>
  <si>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</si>
  <si>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</si>
  <si>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</si>
  <si>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</si>
  <si>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</si>
  <si>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</si>
  <si>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</si>
  <si>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</si>
  <si>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</si>
  <si>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</si>
  <si>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</si>
  <si>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Português ;  Francês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</si>
  <si>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</si>
  <si>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</si>
  <si>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</si>
  <si>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</si>
  <si>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</si>
  <si>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</si>
  <si>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</si>
  <si>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</si>
  <si>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</si>
  <si>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</si>
  <si>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</si>
  <si>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</si>
  <si>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</si>
  <si>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</si>
  <si>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</si>
  <si>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</si>
  <si>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</si>
  <si>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</si>
  <si>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</si>
  <si>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</si>
  <si>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</si>
  <si>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</si>
  <si>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</si>
  <si>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</si>
  <si>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</si>
  <si>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</si>
  <si>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</si>
  <si>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</si>
  <si>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</si>
  <si>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</si>
  <si>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</si>
  <si>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</si>
  <si>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</si>
  <si>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</si>
  <si>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</si>
  <si>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</si>
  <si>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</si>
  <si>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</si>
  <si>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</si>
  <si>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</si>
  <si>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</si>
  <si>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</si>
  <si>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</si>
  <si>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</si>
  <si>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</si>
  <si>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</si>
  <si>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</si>
  <si>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</si>
  <si>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</si>
  <si>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</si>
  <si>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</si>
  <si>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</si>
  <si>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</si>
  <si>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</si>
  <si>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</si>
  <si>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</si>
  <si>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</si>
  <si>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</si>
  <si>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</si>
  <si>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</si>
  <si>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</si>
  <si>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</si>
  <si>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</si>
  <si>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MENU</t>
  </si>
  <si>
    <t>Consulta por título</t>
  </si>
  <si>
    <t>Busca por Assunto</t>
  </si>
  <si>
    <t>Busca por Autoria</t>
  </si>
  <si>
    <t>Total</t>
  </si>
  <si>
    <t>Busca por País</t>
  </si>
  <si>
    <t>Assunto mais comum</t>
  </si>
  <si>
    <t>Assunto menos comum</t>
  </si>
  <si>
    <t>Busca por Editora</t>
  </si>
  <si>
    <t>Autor com mais obras</t>
  </si>
  <si>
    <t>Autor com menos obras</t>
  </si>
  <si>
    <t>Retornar a base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</si>
  <si>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</si>
  <si>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</si>
  <si>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</si>
  <si>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</si>
  <si>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</si>
  <si>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</si>
  <si>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</si>
  <si>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</si>
  <si>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</si>
  <si>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</si>
  <si>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</si>
  <si>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</si>
  <si>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</si>
  <si>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</si>
  <si>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</si>
  <si>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</si>
  <si>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</si>
  <si>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</si>
  <si>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</si>
  <si>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</si>
  <si>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</si>
  <si>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</si>
  <si>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</si>
  <si>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</si>
  <si>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</si>
  <si>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</si>
  <si>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</si>
  <si>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</si>
  <si>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TOTAL DE OBRAS</t>
  </si>
  <si>
    <t>TOTAL DE AUTORES</t>
  </si>
  <si>
    <t>TOTAL DE EDITORAS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</si>
  <si>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</si>
  <si>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</si>
  <si>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</si>
  <si>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</si>
  <si>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</si>
  <si>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</si>
  <si>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OUTRAS INFORMAÇÕES</t>
  </si>
  <si>
    <t>INFORMAÇÕES GERAIS DO ACERVO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</si>
</sst>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charset val="1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</font>
    <font>
      <sz val="11"/>
      <color theme="1"/>
      <name val="Calibri"/>
    </font>
    <font>
      <b/>
      <sz val="14"/>
      <color theme="1"/>
      <name val="Calibri"/>
    </font>
    <font>
      <b/>
      <sz val="12"/>
      <color theme="1"/>
      <name val="Calibri"/>
    </font>
    <font>
      <sz val="12"/>
      <color theme="1"/>
      <name val="Calibri"/>
    </font>
    <font>
      <u/>
      <sz val="12"/>
      <color theme="10"/>
      <name val="Calibri"/>
    </font>
    <font>
      <sz val="12"/>
      <color rgb="FF000000"/>
      <name val="Calibri"/>
    </font>
    <font>
      <b/>
      <sz val="11"/>
      <color theme="1"/>
      <name val="Calibri"/>
    </font>
    <font>
      <b/>
      <sz val="12"/>
      <color rgb="FF000000"/>
      <name val="Calibri"/>
    </font>
    <font>
      <b/>
      <sz val="14"/>
      <color rgb="FFFFFFFF"/>
      <name val="Calibri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8"/>
      <color theme="1"/>
      <name val="Calibri"/>
      <family val="2"/>
    </font>
    <font>
      <b/>
      <sz val="22"/>
      <color theme="0"/>
      <name val="Calibri"/>
      <family val="2"/>
    </font>
    <font>
      <b/>
      <sz val="12"/>
      <color theme="1"/>
      <name val="Calibri"/>
      <family val="2"/>
    </font>
    <font>
      <b/>
      <sz val="12"/>
      <color theme="0"/>
      <name val="Calibri"/>
      <family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3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1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13" fillId="0" borderId="1" xfId="0" applyFont="1" applyBorder="1"/>
    <xf numFmtId="0" fontId="13" fillId="0" borderId="9" xfId="0" applyFont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22" fillId="2" borderId="8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22" fillId="2" borderId="30" xfId="0" applyFont="1" applyFill="1" applyBorder="1" applyAlignment="1">
      <alignment horizontal="center"/>
    </xf>
    <xf numFmtId="0" fontId="16" fillId="11" borderId="25" xfId="0" applyFont="1" applyFill="1" applyBorder="1"/>
    <xf numFmtId="0" fontId="16" fillId="11" borderId="0" xfId="0" applyFont="1" applyFill="1" applyBorder="1"/>
    <xf numFmtId="0" fontId="16" fillId="11" borderId="0" xfId="0" applyFont="1" applyFill="1" applyBorder="1" applyAlignment="1"/>
    <xf numFmtId="0" fontId="16" fillId="11" borderId="26" xfId="0" applyFont="1" applyFill="1" applyBorder="1"/>
    <xf numFmtId="0" fontId="19" fillId="11" borderId="0" xfId="0" applyFont="1" applyFill="1" applyBorder="1" applyAlignment="1"/>
    <xf numFmtId="0" fontId="18" fillId="11" borderId="25" xfId="0" applyFont="1" applyFill="1" applyBorder="1" applyAlignment="1">
      <alignment horizontal="left" vertical="center"/>
    </xf>
    <xf numFmtId="0" fontId="19" fillId="11" borderId="0" xfId="0" applyFont="1" applyFill="1" applyBorder="1" applyAlignment="1">
      <alignment horizontal="center" vertical="center"/>
    </xf>
    <xf numFmtId="0" fontId="16" fillId="12" borderId="0" xfId="0" applyFont="1" applyFill="1" applyBorder="1"/>
    <xf numFmtId="0" fontId="16" fillId="12" borderId="0" xfId="0" applyFont="1" applyFill="1" applyBorder="1" applyAlignment="1"/>
    <xf numFmtId="0" fontId="28" fillId="13" borderId="21" xfId="0" applyFont="1" applyFill="1" applyBorder="1" applyAlignment="1">
      <alignment horizontal="center" vertical="center"/>
    </xf>
    <xf numFmtId="0" fontId="28" fillId="13" borderId="32" xfId="0" applyFont="1" applyFill="1" applyBorder="1" applyAlignment="1">
      <alignment horizontal="center" vertical="center"/>
    </xf>
    <xf numFmtId="0" fontId="28" fillId="13" borderId="40" xfId="0" applyFont="1" applyFill="1" applyBorder="1" applyAlignment="1">
      <alignment horizontal="center"/>
    </xf>
    <xf numFmtId="0" fontId="19" fillId="11" borderId="34" xfId="0" applyFont="1" applyFill="1" applyBorder="1" applyAlignment="1"/>
    <xf numFmtId="0" fontId="28" fillId="13" borderId="35" xfId="0" applyFont="1" applyFill="1" applyBorder="1" applyAlignment="1">
      <alignment horizontal="center" vertical="center"/>
    </xf>
    <xf numFmtId="0" fontId="0" fillId="11" borderId="25" xfId="0" applyFill="1" applyBorder="1"/>
    <xf numFmtId="0" fontId="0" fillId="11" borderId="0" xfId="0" applyFill="1" applyBorder="1"/>
    <xf numFmtId="0" fontId="0" fillId="11" borderId="26" xfId="0" applyFill="1" applyBorder="1"/>
    <xf numFmtId="0" fontId="0" fillId="11" borderId="0" xfId="0" applyFill="1" applyBorder="1" applyAlignment="1"/>
    <xf numFmtId="0" fontId="17" fillId="11" borderId="0" xfId="0" applyFont="1" applyFill="1" applyBorder="1" applyAlignment="1"/>
    <xf numFmtId="0" fontId="26" fillId="11" borderId="0" xfId="0" applyFont="1" applyFill="1" applyBorder="1" applyAlignment="1">
      <alignment vertical="center"/>
    </xf>
    <xf numFmtId="0" fontId="28" fillId="11" borderId="0" xfId="0" applyFont="1" applyFill="1" applyBorder="1" applyAlignment="1">
      <alignment vertical="center"/>
    </xf>
    <xf numFmtId="0" fontId="18" fillId="11" borderId="0" xfId="0" applyFont="1" applyFill="1" applyBorder="1" applyAlignment="1"/>
    <xf numFmtId="0" fontId="16" fillId="11" borderId="26" xfId="0" applyFont="1" applyFill="1" applyBorder="1" applyAlignment="1"/>
    <xf numFmtId="0" fontId="19" fillId="11" borderId="26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6" fillId="0" borderId="0" xfId="0" applyFont="1" applyFill="1" applyBorder="1" applyAlignment="1"/>
    <xf numFmtId="0" fontId="37" fillId="0" borderId="0" xfId="0" applyFont="1" applyFill="1" applyBorder="1" applyAlignment="1"/>
    <xf numFmtId="0" fontId="25" fillId="15" borderId="22" xfId="2" applyFont="1" applyFill="1" applyBorder="1" applyAlignment="1">
      <alignment horizontal="center" vertical="center"/>
    </xf>
    <xf numFmtId="0" fontId="20" fillId="12" borderId="0" xfId="1" applyFont="1" applyFill="1" applyBorder="1" applyAlignment="1"/>
    <xf numFmtId="0" fontId="1" fillId="12" borderId="26" xfId="1" applyFont="1" applyFill="1" applyBorder="1" applyAlignment="1">
      <alignment vertical="center"/>
    </xf>
    <xf numFmtId="0" fontId="0" fillId="12" borderId="0" xfId="0" applyFill="1" applyBorder="1"/>
    <xf numFmtId="0" fontId="1" fillId="12" borderId="0" xfId="1" applyFont="1" applyFill="1" applyBorder="1" applyAlignment="1">
      <alignment vertical="center"/>
    </xf>
    <xf numFmtId="0" fontId="21" fillId="12" borderId="0" xfId="1" applyFont="1" applyFill="1" applyBorder="1" applyAlignment="1"/>
    <xf numFmtId="0" fontId="15" fillId="12" borderId="26" xfId="1" applyFont="1" applyFill="1" applyBorder="1" applyAlignment="1">
      <alignment vertical="center"/>
    </xf>
    <xf numFmtId="0" fontId="0" fillId="12" borderId="0" xfId="0" applyFill="1" applyBorder="1" applyAlignment="1"/>
    <xf numFmtId="0" fontId="0" fillId="12" borderId="26" xfId="0" applyFill="1" applyBorder="1" applyAlignment="1"/>
    <xf numFmtId="0" fontId="31" fillId="12" borderId="0" xfId="0" applyFont="1" applyFill="1" applyBorder="1" applyAlignment="1"/>
    <xf numFmtId="0" fontId="8" fillId="12" borderId="0" xfId="0" applyFont="1" applyFill="1" applyBorder="1" applyAlignment="1">
      <alignment vertical="center"/>
    </xf>
    <xf numFmtId="0" fontId="8" fillId="12" borderId="26" xfId="0" applyFont="1" applyFill="1" applyBorder="1" applyAlignment="1">
      <alignment vertical="center"/>
    </xf>
    <xf numFmtId="0" fontId="1" fillId="12" borderId="0" xfId="1" applyFill="1" applyBorder="1" applyAlignment="1">
      <alignment vertical="center"/>
    </xf>
    <xf numFmtId="0" fontId="1" fillId="12" borderId="26" xfId="1" applyFill="1" applyBorder="1" applyAlignment="1">
      <alignment vertical="center"/>
    </xf>
    <xf numFmtId="0" fontId="33" fillId="14" borderId="42" xfId="1" applyFont="1" applyFill="1" applyBorder="1" applyAlignment="1">
      <alignment horizontal="center"/>
    </xf>
    <xf numFmtId="0" fontId="33" fillId="14" borderId="44" xfId="1" applyFont="1" applyFill="1" applyBorder="1" applyAlignment="1">
      <alignment horizontal="center"/>
    </xf>
    <xf numFmtId="0" fontId="33" fillId="14" borderId="43" xfId="1" applyFont="1" applyFill="1" applyBorder="1" applyAlignment="1">
      <alignment horizontal="center"/>
    </xf>
    <xf numFmtId="0" fontId="30" fillId="11" borderId="23" xfId="0" applyFont="1" applyFill="1" applyBorder="1" applyAlignment="1">
      <alignment horizontal="center" vertical="center"/>
    </xf>
    <xf numFmtId="0" fontId="30" fillId="11" borderId="24" xfId="0" applyFont="1" applyFill="1" applyBorder="1" applyAlignment="1">
      <alignment horizontal="center" vertical="center"/>
    </xf>
    <xf numFmtId="0" fontId="30" fillId="11" borderId="33" xfId="0" applyFont="1" applyFill="1" applyBorder="1" applyAlignment="1">
      <alignment horizontal="center" vertical="center"/>
    </xf>
    <xf numFmtId="0" fontId="30" fillId="11" borderId="35" xfId="0" applyFont="1" applyFill="1" applyBorder="1" applyAlignment="1">
      <alignment horizontal="center" vertical="center"/>
    </xf>
    <xf numFmtId="0" fontId="38" fillId="12" borderId="23" xfId="0" applyFont="1" applyFill="1" applyBorder="1" applyAlignment="1">
      <alignment horizontal="center" vertical="center"/>
    </xf>
    <xf numFmtId="0" fontId="38" fillId="12" borderId="24" xfId="0" applyFont="1" applyFill="1" applyBorder="1" applyAlignment="1">
      <alignment horizontal="center" vertical="center"/>
    </xf>
    <xf numFmtId="0" fontId="38" fillId="12" borderId="33" xfId="0" applyFont="1" applyFill="1" applyBorder="1" applyAlignment="1">
      <alignment horizontal="center" vertical="center"/>
    </xf>
    <xf numFmtId="0" fontId="38" fillId="12" borderId="35" xfId="0" applyFont="1" applyFill="1" applyBorder="1" applyAlignment="1">
      <alignment horizontal="center" vertical="center"/>
    </xf>
    <xf numFmtId="0" fontId="32" fillId="12" borderId="23" xfId="0" applyFont="1" applyFill="1" applyBorder="1" applyAlignment="1">
      <alignment horizontal="center" vertical="center"/>
    </xf>
    <xf numFmtId="0" fontId="32" fillId="12" borderId="24" xfId="0" applyFont="1" applyFill="1" applyBorder="1" applyAlignment="1">
      <alignment horizontal="center" vertical="center"/>
    </xf>
    <xf numFmtId="0" fontId="32" fillId="12" borderId="33" xfId="0" applyFont="1" applyFill="1" applyBorder="1" applyAlignment="1">
      <alignment horizontal="center" vertical="center"/>
    </xf>
    <xf numFmtId="0" fontId="32" fillId="12" borderId="35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7" fillId="4" borderId="4" xfId="0" applyFont="1" applyFill="1" applyBorder="1" applyAlignment="1">
      <alignment horizontal="center" vertical="center"/>
    </xf>
    <xf numFmtId="0" fontId="27" fillId="4" borderId="5" xfId="0" applyFont="1" applyFill="1" applyBorder="1" applyAlignment="1">
      <alignment horizontal="center" vertical="center"/>
    </xf>
    <xf numFmtId="0" fontId="29" fillId="9" borderId="4" xfId="0" applyFont="1" applyFill="1" applyBorder="1" applyAlignment="1">
      <alignment horizontal="center"/>
    </xf>
    <xf numFmtId="0" fontId="29" fillId="9" borderId="5" xfId="0" applyFont="1" applyFill="1" applyBorder="1" applyAlignment="1">
      <alignment horizontal="center"/>
    </xf>
    <xf numFmtId="0" fontId="29" fillId="9" borderId="6" xfId="0" applyFont="1" applyFill="1" applyBorder="1" applyAlignment="1">
      <alignment horizontal="center"/>
    </xf>
    <xf numFmtId="0" fontId="26" fillId="4" borderId="36" xfId="0" applyFont="1" applyFill="1" applyBorder="1" applyAlignment="1">
      <alignment horizontal="left" vertical="center"/>
    </xf>
    <xf numFmtId="0" fontId="26" fillId="4" borderId="37" xfId="0" applyFont="1" applyFill="1" applyBorder="1" applyAlignment="1">
      <alignment horizontal="left" vertical="center"/>
    </xf>
    <xf numFmtId="0" fontId="28" fillId="9" borderId="38" xfId="0" applyFont="1" applyFill="1" applyBorder="1" applyAlignment="1">
      <alignment horizontal="center" vertical="center"/>
    </xf>
    <xf numFmtId="0" fontId="28" fillId="9" borderId="39" xfId="0" applyFont="1" applyFill="1" applyBorder="1" applyAlignment="1">
      <alignment horizontal="center" vertical="center"/>
    </xf>
    <xf numFmtId="0" fontId="28" fillId="9" borderId="37" xfId="0" applyFont="1" applyFill="1" applyBorder="1" applyAlignment="1">
      <alignment horizontal="center" vertical="center"/>
    </xf>
    <xf numFmtId="0" fontId="27" fillId="4" borderId="41" xfId="0" applyFont="1" applyFill="1" applyBorder="1" applyAlignment="1">
      <alignment horizontal="center" vertical="center"/>
    </xf>
    <xf numFmtId="0" fontId="27" fillId="4" borderId="34" xfId="0" applyFont="1" applyFill="1" applyBorder="1" applyAlignment="1">
      <alignment horizontal="center" vertical="center"/>
    </xf>
    <xf numFmtId="0" fontId="29" fillId="9" borderId="41" xfId="0" applyFont="1" applyFill="1" applyBorder="1" applyAlignment="1">
      <alignment horizontal="center"/>
    </xf>
    <xf numFmtId="0" fontId="29" fillId="9" borderId="34" xfId="0" applyFont="1" applyFill="1" applyBorder="1" applyAlignment="1">
      <alignment horizontal="center"/>
    </xf>
    <xf numFmtId="0" fontId="29" fillId="9" borderId="40" xfId="0" applyFont="1" applyFill="1" applyBorder="1" applyAlignment="1">
      <alignment horizontal="center"/>
    </xf>
    <xf numFmtId="0" fontId="26" fillId="4" borderId="27" xfId="0" applyFont="1" applyFill="1" applyBorder="1" applyAlignment="1">
      <alignment horizontal="left"/>
    </xf>
    <xf numFmtId="0" fontId="26" fillId="4" borderId="5" xfId="0" applyFont="1" applyFill="1" applyBorder="1" applyAlignment="1">
      <alignment horizontal="left"/>
    </xf>
    <xf numFmtId="0" fontId="29" fillId="9" borderId="14" xfId="0" applyFont="1" applyFill="1" applyBorder="1" applyAlignment="1">
      <alignment horizontal="center" vertical="center"/>
    </xf>
    <xf numFmtId="0" fontId="29" fillId="9" borderId="13" xfId="0" applyFont="1" applyFill="1" applyBorder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28" fillId="9" borderId="6" xfId="0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center" vertical="center"/>
    </xf>
    <xf numFmtId="0" fontId="27" fillId="4" borderId="13" xfId="0" applyFont="1" applyFill="1" applyBorder="1" applyAlignment="1">
      <alignment horizontal="center" vertical="center"/>
    </xf>
    <xf numFmtId="0" fontId="26" fillId="4" borderId="31" xfId="0" applyFont="1" applyFill="1" applyBorder="1" applyAlignment="1">
      <alignment horizontal="left"/>
    </xf>
    <xf numFmtId="0" fontId="26" fillId="4" borderId="13" xfId="0" applyFont="1" applyFill="1" applyBorder="1" applyAlignment="1">
      <alignment horizontal="left"/>
    </xf>
    <xf numFmtId="0" fontId="28" fillId="9" borderId="14" xfId="0" applyFont="1" applyFill="1" applyBorder="1" applyAlignment="1">
      <alignment horizontal="center" vertical="center"/>
    </xf>
    <xf numFmtId="0" fontId="28" fillId="9" borderId="13" xfId="0" applyFont="1" applyFill="1" applyBorder="1" applyAlignment="1">
      <alignment horizontal="center" vertical="center"/>
    </xf>
    <xf numFmtId="0" fontId="29" fillId="9" borderId="14" xfId="1" applyFont="1" applyFill="1" applyBorder="1" applyAlignment="1">
      <alignment horizontal="center"/>
    </xf>
    <xf numFmtId="0" fontId="29" fillId="9" borderId="13" xfId="1" applyFont="1" applyFill="1" applyBorder="1" applyAlignment="1">
      <alignment horizontal="center"/>
    </xf>
    <xf numFmtId="0" fontId="29" fillId="9" borderId="15" xfId="1" applyFont="1" applyFill="1" applyBorder="1" applyAlignment="1">
      <alignment horizontal="center"/>
    </xf>
    <xf numFmtId="0" fontId="7" fillId="5" borderId="42" xfId="0" applyFont="1" applyFill="1" applyBorder="1" applyAlignment="1">
      <alignment horizontal="center"/>
    </xf>
    <xf numFmtId="0" fontId="7" fillId="5" borderId="44" xfId="0" applyFont="1" applyFill="1" applyBorder="1" applyAlignment="1">
      <alignment horizontal="center"/>
    </xf>
    <xf numFmtId="0" fontId="7" fillId="5" borderId="43" xfId="0" applyFont="1" applyFill="1" applyBorder="1" applyAlignment="1">
      <alignment horizontal="center"/>
    </xf>
    <xf numFmtId="0" fontId="29" fillId="9" borderId="14" xfId="0" applyFont="1" applyFill="1" applyBorder="1" applyAlignment="1">
      <alignment horizontal="center"/>
    </xf>
    <xf numFmtId="0" fontId="29" fillId="9" borderId="13" xfId="0" applyFont="1" applyFill="1" applyBorder="1" applyAlignment="1">
      <alignment horizontal="center"/>
    </xf>
    <xf numFmtId="0" fontId="29" fillId="9" borderId="15" xfId="0" applyFont="1" applyFill="1" applyBorder="1" applyAlignment="1">
      <alignment horizontal="center"/>
    </xf>
    <xf numFmtId="0" fontId="26" fillId="4" borderId="31" xfId="0" applyFont="1" applyFill="1" applyBorder="1" applyAlignment="1">
      <alignment horizontal="left" vertical="center"/>
    </xf>
    <xf numFmtId="0" fontId="26" fillId="4" borderId="13" xfId="0" applyFont="1" applyFill="1" applyBorder="1" applyAlignment="1">
      <alignment horizontal="left" vertical="center"/>
    </xf>
    <xf numFmtId="0" fontId="24" fillId="5" borderId="28" xfId="0" applyFont="1" applyFill="1" applyBorder="1" applyAlignment="1">
      <alignment horizontal="center"/>
    </xf>
    <xf numFmtId="0" fontId="24" fillId="5" borderId="1" xfId="0" applyFont="1" applyFill="1" applyBorder="1" applyAlignment="1">
      <alignment horizontal="center"/>
    </xf>
    <xf numFmtId="0" fontId="24" fillId="5" borderId="29" xfId="0" applyFont="1" applyFill="1" applyBorder="1" applyAlignment="1">
      <alignment horizontal="center"/>
    </xf>
    <xf numFmtId="0" fontId="17" fillId="2" borderId="25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1" fillId="7" borderId="2" xfId="1" applyFill="1" applyBorder="1" applyAlignment="1">
      <alignment horizontal="center" vertical="center"/>
    </xf>
    <xf numFmtId="0" fontId="1" fillId="7" borderId="3" xfId="1" applyFill="1" applyBorder="1" applyAlignment="1">
      <alignment horizontal="center" vertical="center"/>
    </xf>
    <xf numFmtId="0" fontId="1" fillId="7" borderId="16" xfId="1" applyFill="1" applyBorder="1" applyAlignment="1">
      <alignment horizontal="center" vertical="center"/>
    </xf>
    <xf numFmtId="0" fontId="1" fillId="7" borderId="2" xfId="1" applyFont="1" applyFill="1" applyBorder="1" applyAlignment="1">
      <alignment horizontal="center" vertical="center"/>
    </xf>
    <xf numFmtId="0" fontId="1" fillId="7" borderId="3" xfId="1" applyFont="1" applyFill="1" applyBorder="1" applyAlignment="1">
      <alignment horizontal="center" vertical="center"/>
    </xf>
    <xf numFmtId="0" fontId="1" fillId="7" borderId="16" xfId="1" applyFont="1" applyFill="1" applyBorder="1" applyAlignment="1">
      <alignment horizontal="center" vertical="center"/>
    </xf>
    <xf numFmtId="0" fontId="25" fillId="15" borderId="22" xfId="2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5" fillId="7" borderId="2" xfId="1" applyFont="1" applyFill="1" applyBorder="1" applyAlignment="1">
      <alignment horizontal="center" vertical="center"/>
    </xf>
    <xf numFmtId="0" fontId="15" fillId="7" borderId="3" xfId="1" applyFont="1" applyFill="1" applyBorder="1" applyAlignment="1">
      <alignment horizontal="center" vertical="center"/>
    </xf>
    <xf numFmtId="0" fontId="15" fillId="7" borderId="16" xfId="1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8" borderId="4" xfId="0" applyFont="1" applyFill="1" applyBorder="1" applyAlignment="1">
      <alignment horizontal="center"/>
    </xf>
    <xf numFmtId="0" fontId="13" fillId="8" borderId="5" xfId="0" applyFont="1" applyFill="1" applyBorder="1" applyAlignment="1">
      <alignment horizontal="center"/>
    </xf>
    <xf numFmtId="0" fontId="13" fillId="8" borderId="6" xfId="0" applyFont="1" applyFill="1" applyBorder="1" applyAlignment="1">
      <alignment horizontal="center"/>
    </xf>
    <xf numFmtId="0" fontId="13" fillId="8" borderId="14" xfId="0" applyFont="1" applyFill="1" applyBorder="1" applyAlignment="1">
      <alignment horizontal="center"/>
    </xf>
    <xf numFmtId="0" fontId="13" fillId="8" borderId="13" xfId="0" applyFont="1" applyFill="1" applyBorder="1" applyAlignment="1">
      <alignment horizontal="center"/>
    </xf>
    <xf numFmtId="0" fontId="13" fillId="8" borderId="15" xfId="0" applyFont="1" applyFill="1" applyBorder="1" applyAlignment="1">
      <alignment horizontal="center"/>
    </xf>
    <xf numFmtId="0" fontId="13" fillId="8" borderId="10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8" borderId="9" xfId="0" applyFont="1" applyFill="1" applyBorder="1" applyAlignment="1">
      <alignment horizontal="center"/>
    </xf>
    <xf numFmtId="0" fontId="34" fillId="16" borderId="25" xfId="2" applyFont="1" applyFill="1" applyBorder="1" applyAlignment="1">
      <alignment horizontal="center" vertical="center"/>
    </xf>
    <xf numFmtId="0" fontId="34" fillId="16" borderId="0" xfId="2" applyFont="1" applyFill="1" applyBorder="1" applyAlignment="1">
      <alignment horizontal="center" vertical="center"/>
    </xf>
    <xf numFmtId="0" fontId="35" fillId="15" borderId="2" xfId="2" applyFont="1" applyFill="1" applyBorder="1" applyAlignment="1">
      <alignment horizontal="center" vertical="center"/>
    </xf>
    <xf numFmtId="0" fontId="35" fillId="15" borderId="3" xfId="2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</dxfs>
  <tableStyles count="0" defaultTableStyle="TableStyleMedium2" defaultPivotStyle="PivotStyleMedium9"/>
  <colors>
    <mruColors>
      <color rgb="FFF3F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Dinâmicas!td_Idioma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400" b="1" i="0" u="none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i="0" baseline="0">
                <a:solidFill>
                  <a:schemeClr val="accent1"/>
                </a:solidFill>
                <a:effectLst/>
              </a:rPr>
              <a:t>Número de obras por Idioma</a:t>
            </a:r>
          </a:p>
        </c:rich>
      </c:tx>
      <c:layout>
        <c:manualLayout>
          <c:xMode val="edge"/>
          <c:yMode val="edge"/>
          <c:x val="0.20343561703455837"/>
          <c:y val="0.73372795034903215"/>
        </c:manualLayout>
      </c:layout>
      <c:overlay val="0"/>
      <c:spPr>
        <a:noFill/>
        <a:ln>
          <a:solidFill>
            <a:schemeClr val="accent1">
              <a:lumMod val="40000"/>
              <a:lumOff val="6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9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884107690681863"/>
          <c:y val="5.1207891595657772E-2"/>
          <c:w val="0.57028662531127838"/>
          <c:h val="0.6464954924112746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Dinâmicas'!$K$3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Dinâmicas'!$J$4:$J$10</c:f>
              <c:strCache>
                <c:ptCount val="7"/>
                <c:pt idx="0">
                  <c:v>Português</c:v>
                </c:pt>
                <c:pt idx="1">
                  <c:v>Inglês</c:v>
                </c:pt>
                <c:pt idx="2">
                  <c:v>Português ; Inglês</c:v>
                </c:pt>
                <c:pt idx="3">
                  <c:v>Português ;  Francês</c:v>
                </c:pt>
                <c:pt idx="4">
                  <c:v>Alemão ; Português</c:v>
                </c:pt>
                <c:pt idx="5">
                  <c:v>Francês</c:v>
                </c:pt>
                <c:pt idx="6">
                  <c:v>Português ; Inglês ; Espanhol</c:v>
                </c:pt>
              </c:strCache>
            </c:strRef>
          </c:cat>
          <c:val>
            <c:numRef>
              <c:f>'Tabelas Dinâmicas'!$K$4:$K$10</c:f>
              <c:numCache>
                <c:formatCode>General</c:formatCode>
                <c:ptCount val="7"/>
                <c:pt idx="0">
                  <c:v>132</c:v>
                </c:pt>
                <c:pt idx="1">
                  <c:v>18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9B-454B-A9F1-3AA48DF07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78502104"/>
        <c:axId val="378501776"/>
      </c:barChart>
      <c:valAx>
        <c:axId val="378501776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78502104"/>
        <c:crosses val="autoZero"/>
        <c:crossBetween val="between"/>
      </c:valAx>
      <c:catAx>
        <c:axId val="3785021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8501776"/>
        <c:crosses val="autoZero"/>
        <c:auto val="1"/>
        <c:lblAlgn val="ctr"/>
        <c:lblOffset val="100"/>
        <c:noMultiLvlLbl val="0"/>
      </c:cat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  <c:extLst/>
  </c:chart>
  <c:spPr>
    <a:solidFill>
      <a:srgbClr val="F3F6FB"/>
    </a:solidFill>
    <a:ln w="317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1"/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0.21617432500315781"/>
          <c:y val="1.3029654506025102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74978213368716E-2"/>
          <c:y val="7.7829451844790828E-2"/>
          <c:w val="0.88565964868275537"/>
          <c:h val="0.597418775002506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2D-4E61-B5B8-63E1D311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30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2480"/>
        <c:crosses val="autoZero"/>
        <c:crossBetween val="between"/>
      </c:valAx>
    </c:plotArea>
    <c:plotVisOnly val="1"/>
    <c:dispBlanksAs val="gap"/>
    <c:showDLblsOverMax val="0"/>
    <c:extLst/>
  </c:chart>
  <c:spPr>
    <a:solidFill>
      <a:srgbClr val="F3F6FB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Dinâmicas!td_Coleção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1"/>
                </a:solidFill>
              </a:rPr>
              <a:t>NÚMERO</a:t>
            </a:r>
            <a:r>
              <a:rPr lang="en-US" sz="2400" b="1" baseline="0">
                <a:solidFill>
                  <a:schemeClr val="accent1"/>
                </a:solidFill>
              </a:rPr>
              <a:t> DE OBRAS POR COLEÇÃO</a:t>
            </a:r>
            <a:endParaRPr lang="en-US" sz="2400" b="1">
              <a:solidFill>
                <a:schemeClr val="accent1"/>
              </a:solidFill>
            </a:endParaRPr>
          </a:p>
        </c:rich>
      </c:tx>
      <c:layout>
        <c:manualLayout>
          <c:xMode val="edge"/>
          <c:yMode val="edge"/>
          <c:x val="0.24631674339102325"/>
          <c:y val="1.7143118768282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Dinâmicas'!$T$3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Dinâmicas'!$S$4:$S$29</c:f>
              <c:strCache>
                <c:ptCount val="26"/>
                <c:pt idx="0">
                  <c:v>n / a</c:v>
                </c:pt>
                <c:pt idx="1">
                  <c:v>L&amp;PM Pocket</c:v>
                </c:pt>
                <c:pt idx="2">
                  <c:v>A Obra Prima de Cada Autor</c:v>
                </c:pt>
                <c:pt idx="3">
                  <c:v>PEP</c:v>
                </c:pt>
                <c:pt idx="4">
                  <c:v>A Revolta de Atlas</c:v>
                </c:pt>
                <c:pt idx="5">
                  <c:v>Provocações Filosóficas</c:v>
                </c:pt>
                <c:pt idx="6">
                  <c:v>Trilogia Thrawn</c:v>
                </c:pt>
                <c:pt idx="7">
                  <c:v>Penguin Popular Classics</c:v>
                </c:pt>
                <c:pt idx="8">
                  <c:v>Collins Classics</c:v>
                </c:pt>
                <c:pt idx="9">
                  <c:v>Super Prestígio</c:v>
                </c:pt>
                <c:pt idx="10">
                  <c:v>The Malazan Book of the Fallen</c:v>
                </c:pt>
                <c:pt idx="11">
                  <c:v>Patrística</c:v>
                </c:pt>
                <c:pt idx="12">
                  <c:v>Mirai Nikki</c:v>
                </c:pt>
                <c:pt idx="13">
                  <c:v>Cultura de Paz e Mediunidade</c:v>
                </c:pt>
                <c:pt idx="14">
                  <c:v>Evangelion</c:v>
                </c:pt>
                <c:pt idx="15">
                  <c:v>Filosofar</c:v>
                </c:pt>
                <c:pt idx="16">
                  <c:v>Rede Celebra</c:v>
                </c:pt>
                <c:pt idx="17">
                  <c:v>Guia do Mochileiro das Galáxias</c:v>
                </c:pt>
                <c:pt idx="18">
                  <c:v>Didática</c:v>
                </c:pt>
                <c:pt idx="19">
                  <c:v>História do Brasil Nação: 1808 - 2010</c:v>
                </c:pt>
                <c:pt idx="20">
                  <c:v>Liturgia</c:v>
                </c:pt>
                <c:pt idx="21">
                  <c:v>Leste</c:v>
                </c:pt>
                <c:pt idx="22">
                  <c:v>Base</c:v>
                </c:pt>
                <c:pt idx="23">
                  <c:v>Agatha Christie</c:v>
                </c:pt>
                <c:pt idx="24">
                  <c:v>A Song of Ice and Fire</c:v>
                </c:pt>
                <c:pt idx="25">
                  <c:v>Lecture Facile</c:v>
                </c:pt>
              </c:strCache>
            </c:strRef>
          </c:cat>
          <c:val>
            <c:numRef>
              <c:f>'Tabelas Dinâmicas'!$T$4:$T$29</c:f>
              <c:numCache>
                <c:formatCode>General</c:formatCode>
                <c:ptCount val="26"/>
                <c:pt idx="0">
                  <c:v>99</c:v>
                </c:pt>
                <c:pt idx="1">
                  <c:v>13</c:v>
                </c:pt>
                <c:pt idx="2">
                  <c:v>8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6-4859-ABF1-3F0446F5B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7305096"/>
        <c:axId val="548354184"/>
      </c:barChart>
      <c:catAx>
        <c:axId val="55730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8354184"/>
        <c:crosses val="autoZero"/>
        <c:auto val="1"/>
        <c:lblAlgn val="ctr"/>
        <c:lblOffset val="100"/>
        <c:noMultiLvlLbl val="0"/>
      </c:catAx>
      <c:valAx>
        <c:axId val="5483541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7305096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Dinâmicas!td_Ano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1"/>
                </a:solidFill>
              </a:rPr>
              <a:t>Número</a:t>
            </a:r>
            <a:r>
              <a:rPr lang="en-US" sz="2000" b="1" baseline="0">
                <a:solidFill>
                  <a:schemeClr val="accent1"/>
                </a:solidFill>
              </a:rPr>
              <a:t> de Obras por Ano</a:t>
            </a:r>
            <a:endParaRPr lang="en-US" sz="2000" b="1">
              <a:solidFill>
                <a:schemeClr val="accent1"/>
              </a:solidFill>
            </a:endParaRPr>
          </a:p>
        </c:rich>
      </c:tx>
      <c:layout>
        <c:manualLayout>
          <c:xMode val="edge"/>
          <c:yMode val="edge"/>
          <c:x val="0.21862067398348189"/>
          <c:y val="0.87617034618879552"/>
        </c:manualLayout>
      </c:layout>
      <c:overlay val="0"/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96849301884574"/>
          <c:y val="2.5577382809511013E-2"/>
          <c:w val="0.71068667324918644"/>
          <c:h val="0.827060441789986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Dinâmicas'!$Q$3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Dinâmicas'!$P$4:$P$37</c:f>
              <c:strCache>
                <c:ptCount val="34"/>
                <c:pt idx="0">
                  <c:v>2012</c:v>
                </c:pt>
                <c:pt idx="1">
                  <c:v>2014</c:v>
                </c:pt>
                <c:pt idx="2">
                  <c:v>2011</c:v>
                </c:pt>
                <c:pt idx="3">
                  <c:v>2013</c:v>
                </c:pt>
                <c:pt idx="4">
                  <c:v>2008</c:v>
                </c:pt>
                <c:pt idx="5">
                  <c:v>2010</c:v>
                </c:pt>
                <c:pt idx="6">
                  <c:v>2015</c:v>
                </c:pt>
                <c:pt idx="7">
                  <c:v>2007</c:v>
                </c:pt>
                <c:pt idx="8">
                  <c:v>2009</c:v>
                </c:pt>
                <c:pt idx="9">
                  <c:v>2016</c:v>
                </c:pt>
                <c:pt idx="10">
                  <c:v>2017</c:v>
                </c:pt>
                <c:pt idx="11">
                  <c:v>2005</c:v>
                </c:pt>
                <c:pt idx="12">
                  <c:v>1975 (?)</c:v>
                </c:pt>
                <c:pt idx="13">
                  <c:v>2003</c:v>
                </c:pt>
                <c:pt idx="14">
                  <c:v>2006</c:v>
                </c:pt>
                <c:pt idx="15">
                  <c:v>(?)</c:v>
                </c:pt>
                <c:pt idx="16">
                  <c:v>2001</c:v>
                </c:pt>
                <c:pt idx="17">
                  <c:v>1994</c:v>
                </c:pt>
                <c:pt idx="18">
                  <c:v>1998</c:v>
                </c:pt>
                <c:pt idx="19">
                  <c:v>2003 (?)</c:v>
                </c:pt>
                <c:pt idx="20">
                  <c:v>1982</c:v>
                </c:pt>
                <c:pt idx="21">
                  <c:v>1986</c:v>
                </c:pt>
                <c:pt idx="22">
                  <c:v>1971</c:v>
                </c:pt>
                <c:pt idx="23">
                  <c:v>1995</c:v>
                </c:pt>
                <c:pt idx="24">
                  <c:v>2002</c:v>
                </c:pt>
                <c:pt idx="25">
                  <c:v>1978 (?)</c:v>
                </c:pt>
                <c:pt idx="26">
                  <c:v> (?)</c:v>
                </c:pt>
                <c:pt idx="27">
                  <c:v>1987</c:v>
                </c:pt>
                <c:pt idx="28">
                  <c:v>2004</c:v>
                </c:pt>
                <c:pt idx="29">
                  <c:v>1991</c:v>
                </c:pt>
                <c:pt idx="30">
                  <c:v>1984</c:v>
                </c:pt>
                <c:pt idx="31">
                  <c:v>2005 (?)</c:v>
                </c:pt>
                <c:pt idx="32">
                  <c:v>1999</c:v>
                </c:pt>
                <c:pt idx="33">
                  <c:v>2000</c:v>
                </c:pt>
              </c:strCache>
            </c:strRef>
          </c:cat>
          <c:val>
            <c:numRef>
              <c:f>'Tabelas Dinâmicas'!$Q$4:$Q$37</c:f>
              <c:numCache>
                <c:formatCode>General</c:formatCode>
                <c:ptCount val="34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D-497A-8814-BA387A1B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7303128"/>
        <c:axId val="557302144"/>
      </c:barChart>
      <c:catAx>
        <c:axId val="5573031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7302144"/>
        <c:crosses val="autoZero"/>
        <c:auto val="1"/>
        <c:lblAlgn val="ctr"/>
        <c:lblOffset val="100"/>
        <c:noMultiLvlLbl val="0"/>
      </c:catAx>
      <c:valAx>
        <c:axId val="557302144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57303128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1"/>
                </a:solidFill>
              </a:rPr>
              <a:t>NÚMERO</a:t>
            </a:r>
            <a:r>
              <a:rPr lang="en-US" sz="1800" b="1" baseline="0">
                <a:solidFill>
                  <a:schemeClr val="accent1"/>
                </a:solidFill>
              </a:rPr>
              <a:t> DE OBRAS POR PAÍS</a:t>
            </a:r>
            <a:endParaRPr lang="en-US" sz="1800" b="1">
              <a:solidFill>
                <a:schemeClr val="accent1"/>
              </a:solidFill>
            </a:endParaRPr>
          </a:p>
        </c:rich>
      </c:tx>
      <c:layout>
        <c:manualLayout>
          <c:xMode val="edge"/>
          <c:yMode val="edge"/>
          <c:x val="0.18629150842645878"/>
          <c:y val="1.666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B5-4798-A911-A2A3B66A6D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B5-4798-A911-A2A3B66A6D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B5-4798-A911-A2A3B66A6D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B5-4798-A911-A2A3B66A6D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EB5-4798-A911-A2A3B66A6D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B5-4798-A911-A2A3B66A6D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EB5-4798-A911-A2A3B66A6D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EB5-4798-A911-A2A3B66A6D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EB5-4798-A911-A2A3B66A6D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EB5-4798-A911-A2A3B66A6D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EB5-4798-A911-A2A3B66A6D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EB5-4798-A911-A2A3B66A6D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EB5-4798-A911-A2A3B66A6D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EB5-4798-A911-A2A3B66A6D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EB5-4798-A911-A2A3B66A6D3E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EB5-4798-A911-A2A3B66A6D3E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EB5-4798-A911-A2A3B66A6D3E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EB5-4798-A911-A2A3B66A6D3E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EB5-4798-A911-A2A3B66A6D3E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EB5-4798-A911-A2A3B66A6D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Dinâmicas'!$M$4:$M$23</c:f>
              <c:strCache>
                <c:ptCount val="20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Irlanda</c:v>
                </c:pt>
                <c:pt idx="9">
                  <c:v>China</c:v>
                </c:pt>
                <c:pt idx="10">
                  <c:v>Canada</c:v>
                </c:pt>
                <c:pt idx="11">
                  <c:v>Espanha</c:v>
                </c:pt>
                <c:pt idx="12">
                  <c:v>Holanda</c:v>
                </c:pt>
                <c:pt idx="13">
                  <c:v>Canadá</c:v>
                </c:pt>
                <c:pt idx="14">
                  <c:v>Aústria</c:v>
                </c:pt>
                <c:pt idx="15">
                  <c:v>Uruguai</c:v>
                </c:pt>
                <c:pt idx="16">
                  <c:v>Israel</c:v>
                </c:pt>
                <c:pt idx="17">
                  <c:v>Grécia</c:v>
                </c:pt>
                <c:pt idx="18">
                  <c:v>Irã</c:v>
                </c:pt>
                <c:pt idx="19">
                  <c:v>Austrália</c:v>
                </c:pt>
              </c:strCache>
            </c:strRef>
          </c:cat>
          <c:val>
            <c:numRef>
              <c:f>'Tabelas Dinâmicas'!$N$4:$N$23</c:f>
              <c:numCache>
                <c:formatCode>General</c:formatCode>
                <c:ptCount val="20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EB5-4798-A911-A2A3B66A6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hyperlink" Target="#Consulta!A1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hyperlink" Target="#'Tabelas Din&#226;micas'!A1"/><Relationship Id="rId4" Type="http://schemas.openxmlformats.org/officeDocument/2006/relationships/hyperlink" Target="#'Base de Dado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38100</xdr:colOff>
      <xdr:row>1</xdr:row>
      <xdr:rowOff>0</xdr:rowOff>
    </xdr:from>
    <xdr:to>
      <xdr:col>24</xdr:col>
      <xdr:colOff>285749</xdr:colOff>
      <xdr:row>18</xdr:row>
      <xdr:rowOff>198873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980E42E-A345-41E2-8758-78B9F4955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40482</xdr:rowOff>
    </xdr:from>
    <xdr:to>
      <xdr:col>12</xdr:col>
      <xdr:colOff>272143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133350</xdr:colOff>
      <xdr:row>2</xdr:row>
      <xdr:rowOff>76200</xdr:rowOff>
    </xdr:from>
    <xdr:to>
      <xdr:col>13</xdr:col>
      <xdr:colOff>376813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50932" y="547216"/>
          <a:ext cx="2378738" cy="6460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152400</xdr:colOff>
      <xdr:row>6</xdr:row>
      <xdr:rowOff>85725</xdr:rowOff>
    </xdr:from>
    <xdr:to>
      <xdr:col>12</xdr:col>
      <xdr:colOff>123825</xdr:colOff>
      <xdr:row>9</xdr:row>
      <xdr:rowOff>104776</xdr:rowOff>
    </xdr:to>
    <xdr:sp macro="" textlink="">
      <xdr:nvSpPr>
        <xdr:cNvPr id="15" name="bd_nav_Consult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96150" y="1562100"/>
          <a:ext cx="1400175" cy="619126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447675</xdr:colOff>
      <xdr:row>6</xdr:row>
      <xdr:rowOff>85725</xdr:rowOff>
    </xdr:from>
    <xdr:to>
      <xdr:col>14</xdr:col>
      <xdr:colOff>419100</xdr:colOff>
      <xdr:row>9</xdr:row>
      <xdr:rowOff>104776</xdr:rowOff>
    </xdr:to>
    <xdr:sp macro="" textlink="">
      <xdr:nvSpPr>
        <xdr:cNvPr id="17" name="bd_nav_BD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9020175" y="1562100"/>
          <a:ext cx="1400175" cy="619126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657225</xdr:colOff>
      <xdr:row>6</xdr:row>
      <xdr:rowOff>85725</xdr:rowOff>
    </xdr:from>
    <xdr:to>
      <xdr:col>16</xdr:col>
      <xdr:colOff>628650</xdr:colOff>
      <xdr:row>9</xdr:row>
      <xdr:rowOff>104776</xdr:rowOff>
    </xdr:to>
    <xdr:sp macro="" textlink="">
      <xdr:nvSpPr>
        <xdr:cNvPr id="18" name="bd_nav_Tabel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658475" y="1562100"/>
          <a:ext cx="1400175" cy="619126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3</xdr:col>
      <xdr:colOff>647700</xdr:colOff>
      <xdr:row>2</xdr:row>
      <xdr:rowOff>161925</xdr:rowOff>
    </xdr:from>
    <xdr:to>
      <xdr:col>6</xdr:col>
      <xdr:colOff>57150</xdr:colOff>
      <xdr:row>5</xdr:row>
      <xdr:rowOff>104775</xdr:rowOff>
    </xdr:to>
    <xdr:sp macro="" textlink="E4">
      <xdr:nvSpPr>
        <xdr:cNvPr id="21" name="Retângulo 20">
          <a:extLst>
            <a:ext uri="{FF2B5EF4-FFF2-40B4-BE49-F238E27FC236}">
              <a16:creationId xmlns:a16="http://schemas.microsoft.com/office/drawing/2014/main" id="{C1C1F6EF-B9FF-4A0B-BFE9-4E7DE8B0D0A3}"/>
            </a:ext>
          </a:extLst>
        </xdr:cNvPr>
        <xdr:cNvSpPr/>
      </xdr:nvSpPr>
      <xdr:spPr>
        <a:xfrm>
          <a:off x="2790825" y="6381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63BAE2-B314-4C6D-840F-BBF9C2DC9107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129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670933</xdr:colOff>
      <xdr:row>2</xdr:row>
      <xdr:rowOff>148217</xdr:rowOff>
    </xdr:from>
    <xdr:to>
      <xdr:col>9</xdr:col>
      <xdr:colOff>80383</xdr:colOff>
      <xdr:row>5</xdr:row>
      <xdr:rowOff>91067</xdr:rowOff>
    </xdr:to>
    <xdr:sp macro="" textlink="H4">
      <xdr:nvSpPr>
        <xdr:cNvPr id="22" name="Retângulo 21">
          <a:extLst>
            <a:ext uri="{FF2B5EF4-FFF2-40B4-BE49-F238E27FC236}">
              <a16:creationId xmlns:a16="http://schemas.microsoft.com/office/drawing/2014/main" id="{56DBC25B-9C67-4FA7-A11B-C55E8469E0C4}"/>
            </a:ext>
          </a:extLst>
        </xdr:cNvPr>
        <xdr:cNvSpPr/>
      </xdr:nvSpPr>
      <xdr:spPr>
        <a:xfrm>
          <a:off x="4992031" y="624467"/>
          <a:ext cx="1569998" cy="74434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49366D-3FA5-4DB2-B776-05183A826F50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89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647700</xdr:colOff>
      <xdr:row>2</xdr:row>
      <xdr:rowOff>161925</xdr:rowOff>
    </xdr:from>
    <xdr:to>
      <xdr:col>3</xdr:col>
      <xdr:colOff>57150</xdr:colOff>
      <xdr:row>5</xdr:row>
      <xdr:rowOff>104775</xdr:rowOff>
    </xdr:to>
    <xdr:sp macro="" textlink="B4">
      <xdr:nvSpPr>
        <xdr:cNvPr id="23" name="Retângulo 22">
          <a:extLst>
            <a:ext uri="{FF2B5EF4-FFF2-40B4-BE49-F238E27FC236}">
              <a16:creationId xmlns:a16="http://schemas.microsoft.com/office/drawing/2014/main" id="{EC232E57-72B0-484F-A9B4-39F31B4D2AA7}"/>
            </a:ext>
          </a:extLst>
        </xdr:cNvPr>
        <xdr:cNvSpPr/>
      </xdr:nvSpPr>
      <xdr:spPr>
        <a:xfrm>
          <a:off x="647700" y="6381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2AF91C-271C-42EB-8891-01AC7914C9E1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156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324478</xdr:colOff>
      <xdr:row>19</xdr:row>
      <xdr:rowOff>40480</xdr:rowOff>
    </xdr:from>
    <xdr:to>
      <xdr:col>24</xdr:col>
      <xdr:colOff>290397</xdr:colOff>
      <xdr:row>39</xdr:row>
      <xdr:rowOff>123824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A799862-BE72-49EC-A1BB-284CA69E4B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330235</xdr:colOff>
      <xdr:row>0</xdr:row>
      <xdr:rowOff>185852</xdr:rowOff>
    </xdr:from>
    <xdr:to>
      <xdr:col>31</xdr:col>
      <xdr:colOff>568359</xdr:colOff>
      <xdr:row>19</xdr:row>
      <xdr:rowOff>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D2089AD-FF8A-4D05-8CE2-D23212ADF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429149</xdr:colOff>
      <xdr:row>2</xdr:row>
      <xdr:rowOff>73269</xdr:rowOff>
    </xdr:from>
    <xdr:to>
      <xdr:col>16</xdr:col>
      <xdr:colOff>672612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2006" y="544285"/>
          <a:ext cx="2378738" cy="6460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24</xdr:col>
      <xdr:colOff>325244</xdr:colOff>
      <xdr:row>19</xdr:row>
      <xdr:rowOff>46462</xdr:rowOff>
    </xdr:from>
    <xdr:to>
      <xdr:col>31</xdr:col>
      <xdr:colOff>569177</xdr:colOff>
      <xdr:row>39</xdr:row>
      <xdr:rowOff>116159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N158" tableId="1">
      <sortRules>
        <sortRule colId="13" id="{44C1E41B-667E-4F7E-8C9C-ED8558DF1C55}">
          <sortCondition ref="N2:N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4.561671643518" createdVersion="6" refreshedVersion="6" minRefreshableVersion="3" recordCount="156" xr:uid="{DC2A86C4-78D9-46D3-A55D-89A833823176}">
  <cacheSource type="worksheet">
    <worksheetSource name="bd_Main" sheet="Base de Dados"/>
  </cacheSource>
  <cacheFields count="14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 Auto-Ajuda" u="1"/>
        <s v="Romance (Policial)" u="1"/>
        <s v="Administração (Trabalhista)" u="1"/>
        <s v="Administração ; Gestão do Conhecimento" u="1"/>
        <s v="Ficção (HQ)" u="1"/>
        <s v="Direito (Legislação)" u="1"/>
        <s v="Romance (Biográfico)" u="1"/>
        <s v="Filosofia ; Autobiografia" u="1"/>
        <s v="Ficção (Investigação)" u="1"/>
        <s v="Romance (terror)" u="1"/>
        <s v=" Biologia" u="1"/>
        <s v="Economia; Economia Política" u="1"/>
        <s v="Biografia (HQ)" u="1"/>
        <s v="Romance (Espírita)" u="1"/>
        <s v="Ficção (Sociologia)" u="1"/>
        <s v="Filosofia (Sociologia)" u="1"/>
        <s v="Romance (Contos)" u="1"/>
        <s v="Ficção(HQ)" u="1"/>
        <s v="Administração (Marketing)" u="1"/>
        <s v=" Comportamento ; Administração" u="1"/>
        <s v="Romance (Poesia)" u="1"/>
        <s v=" Biologia ; Filosofia" u="1"/>
        <s v="Linguagem2" u="1"/>
        <s v="Autobiografia ; Espiritualidade" u="1"/>
        <s v="Economia Política ; Filosofia" u="1"/>
        <s v="Ficção (Mangá)" u="1"/>
        <s v=" Filosofia ; Auto-Ajuda" u="1"/>
        <s v="Economia Política ; História" u="1"/>
        <s v="Ficção " u="1"/>
        <s v="Filosofia (Autobiografia)" u="1"/>
        <s v="História (Fotográfia)" u="1"/>
        <s v="Direito ; Legislação" u="1"/>
        <s v="Ficção (Economia)" u="1"/>
      </sharedItems>
    </cacheField>
    <cacheField name="AUTOR" numFmtId="0">
      <sharedItems containsBlank="1" count="142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Coordenação de Luzia Sigoli Fernandes Costa" u="1"/>
        <s v="Organizado por Fabio Giambiagi, José Guilherme Reis e André Urani" u="1"/>
        <s v="Selma El-Kathib e Luiz Cesar Pinto Ribeiro (coord)" u="1"/>
        <s v=" Antônio Carlos [Espírito] ;  Psicografado por Vera Lúcia Marinzeck de Carvalho" u="1"/>
        <s v=" Fabio Giambiagi, José Guilherme Reis e André Urani (org)" u="1"/>
        <s v="Organização de Carl G. Jung" u="1"/>
        <s v="Organização de Daniel Aarão Reis" u="1"/>
        <s v="Clarice Lispector ; Organização de Benjamin Moser" u="1"/>
        <s v="Friedrich Wilhelm Nietzsche" u="1"/>
        <s v="Organizado por Vanderlei Batista dos Santos" u="1"/>
        <s v="Organizado por Jesus Ruescas" u="1"/>
        <s v="Coordenado por Selma El-Kathib e Luiz Cesar Pinto Ribeiro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4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 (?)"/>
        <s v="1978 (?)"/>
        <n v="2009"/>
        <n v="2003"/>
        <n v="1995"/>
        <n v="2004"/>
        <s v="(?)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9">
        <s v="Português"/>
        <s v="Inglês"/>
        <s v="Francês"/>
        <s v="Português ; Inglês ; Espanhol"/>
        <s v="Português ; Inglês"/>
        <s v="Português ;  Francês"/>
        <s v="Alemão ; Português"/>
        <m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a"/>
        <s v="Espanha"/>
        <s v="Irlanda"/>
        <s v="Austrália"/>
        <s v="Aústria"/>
        <s v="Canadá"/>
        <s v="Israel"/>
        <s v="Holanda"/>
        <m u="1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n v="1"/>
  </r>
  <r>
    <s v="Excel Avançado"/>
    <x v="1"/>
    <x v="1"/>
    <s v="1a"/>
    <s v="n / a"/>
    <x v="1"/>
    <x v="1"/>
    <x v="1"/>
    <x v="0"/>
    <n v="446"/>
    <n v="5369"/>
    <s v="C575e"/>
    <x v="1"/>
    <n v="2"/>
  </r>
  <r>
    <s v="Agonia do Eros"/>
    <x v="2"/>
    <x v="2"/>
    <s v="1a"/>
    <s v="n / a"/>
    <x v="2"/>
    <x v="2"/>
    <x v="1"/>
    <x v="0"/>
    <n v="93"/>
    <s v="128.46"/>
    <s v="H223a"/>
    <x v="2"/>
    <n v="3"/>
  </r>
  <r>
    <s v="Sociedade do Cansaço"/>
    <x v="2"/>
    <x v="2"/>
    <s v="1a"/>
    <s v="n / a"/>
    <x v="2"/>
    <x v="2"/>
    <x v="1"/>
    <x v="0"/>
    <n v="128"/>
    <s v="301.01"/>
    <s v="H223s"/>
    <x v="2"/>
    <n v="4"/>
  </r>
  <r>
    <s v="Constituição"/>
    <x v="3"/>
    <x v="3"/>
    <s v="n / a"/>
    <s v="n / a"/>
    <x v="3"/>
    <x v="3"/>
    <x v="1"/>
    <x v="0"/>
    <n v="384"/>
    <m/>
    <s v="C758"/>
    <x v="1"/>
    <n v="5"/>
  </r>
  <r>
    <s v="Conhecimento Empresarial"/>
    <x v="4"/>
    <x v="4"/>
    <s v="1a"/>
    <s v="n / a"/>
    <x v="4"/>
    <x v="4"/>
    <x v="1"/>
    <x v="0"/>
    <n v="226"/>
    <s v="658. 4038"/>
    <s v="D247c"/>
    <x v="3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n v="7"/>
  </r>
  <r>
    <s v="Leviatã"/>
    <x v="2"/>
    <x v="6"/>
    <s v="2a"/>
    <s v="n / a"/>
    <x v="6"/>
    <x v="6"/>
    <x v="3"/>
    <x v="0"/>
    <n v="561"/>
    <s v="320.1"/>
    <s v="H682l"/>
    <x v="5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n v="9"/>
  </r>
  <r>
    <s v="A Mágica da Arrumação"/>
    <x v="7"/>
    <x v="8"/>
    <s v="1a"/>
    <s v="n / a"/>
    <x v="8"/>
    <x v="7"/>
    <x v="1"/>
    <x v="0"/>
    <n v="158"/>
    <n v="133333"/>
    <s v="K82m"/>
    <x v="3"/>
    <n v="10"/>
  </r>
  <r>
    <s v="O Príncipe"/>
    <x v="8"/>
    <x v="9"/>
    <s v="2a"/>
    <s v="n / a"/>
    <x v="9"/>
    <x v="8"/>
    <x v="1"/>
    <x v="0"/>
    <n v="221"/>
    <n v="320"/>
    <s v="M297p"/>
    <x v="6"/>
    <n v="11"/>
  </r>
  <r>
    <s v="Assim Falava Zaratustra"/>
    <x v="2"/>
    <x v="10"/>
    <s v="1a"/>
    <s v="n / a"/>
    <x v="10"/>
    <x v="9"/>
    <x v="4"/>
    <x v="0"/>
    <n v="260"/>
    <n v="193"/>
    <s v="N677a"/>
    <x v="2"/>
    <n v="12"/>
  </r>
  <r>
    <s v="Noções Essenciais de Direito"/>
    <x v="9"/>
    <x v="11"/>
    <s v="3a "/>
    <s v="n / a"/>
    <x v="11"/>
    <x v="10"/>
    <x v="1"/>
    <x v="0"/>
    <n v="297"/>
    <n v="34"/>
    <s v="P154n"/>
    <x v="1"/>
    <n v="13"/>
  </r>
  <r>
    <s v="A Sabedoria da Vida"/>
    <x v="2"/>
    <x v="12"/>
    <s v="1a"/>
    <s v="n / a"/>
    <x v="12"/>
    <x v="11"/>
    <x v="1"/>
    <x v="0"/>
    <n v="150"/>
    <n v="193"/>
    <s v="S373s"/>
    <x v="2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n v="16"/>
  </r>
  <r>
    <s v="As Boas Mulheres da China"/>
    <x v="10"/>
    <x v="15"/>
    <s v="1a"/>
    <s v="n / a"/>
    <x v="14"/>
    <x v="11"/>
    <x v="1"/>
    <x v="0"/>
    <n v="251"/>
    <n v="305409"/>
    <s v="X6b"/>
    <x v="7"/>
    <n v="17"/>
  </r>
  <r>
    <s v="Aventura em Bagdá"/>
    <x v="11"/>
    <x v="16"/>
    <s v="1a"/>
    <s v="n / a"/>
    <x v="15"/>
    <x v="13"/>
    <x v="5"/>
    <x v="0"/>
    <n v="236"/>
    <m/>
    <s v="C555a"/>
    <x v="5"/>
    <n v="18"/>
  </r>
  <r>
    <s v="Crime e Castigo"/>
    <x v="12"/>
    <x v="17"/>
    <s v="1a"/>
    <s v="n / a"/>
    <x v="5"/>
    <x v="8"/>
    <x v="2"/>
    <x v="0"/>
    <n v="590"/>
    <s v="891.73"/>
    <s v="D724c"/>
    <x v="8"/>
    <n v="19"/>
  </r>
  <r>
    <s v="Os Despossuídos"/>
    <x v="13"/>
    <x v="18"/>
    <s v="1a"/>
    <s v="n / a"/>
    <x v="16"/>
    <x v="2"/>
    <x v="1"/>
    <x v="0"/>
    <n v="379"/>
    <s v="813.08"/>
    <s v="L433d"/>
    <x v="3"/>
    <n v="20"/>
  </r>
  <r>
    <s v="Mirai Nikki"/>
    <x v="14"/>
    <x v="19"/>
    <s v="n / a"/>
    <n v="7"/>
    <x v="17"/>
    <x v="8"/>
    <x v="6"/>
    <x v="0"/>
    <n v="186"/>
    <m/>
    <s v="E82m"/>
    <x v="9"/>
    <n v="21"/>
  </r>
  <r>
    <s v="Evangelion"/>
    <x v="14"/>
    <x v="20"/>
    <s v="n / a"/>
    <n v="16"/>
    <x v="18"/>
    <x v="14"/>
    <x v="7"/>
    <x v="0"/>
    <n v="92"/>
    <m/>
    <s v="S124e"/>
    <x v="9"/>
    <n v="22"/>
  </r>
  <r>
    <s v="Game of Thrones"/>
    <x v="13"/>
    <x v="21"/>
    <s v="ed. especial"/>
    <s v="n / a"/>
    <x v="19"/>
    <x v="8"/>
    <x v="8"/>
    <x v="1"/>
    <n v="807"/>
    <m/>
    <s v="M379g"/>
    <x v="3"/>
    <n v="23"/>
  </r>
  <r>
    <s v="God of War"/>
    <x v="13"/>
    <x v="22"/>
    <s v="1a"/>
    <s v="n / a"/>
    <x v="20"/>
    <x v="6"/>
    <x v="1"/>
    <x v="0"/>
    <n v="383"/>
    <n v="813"/>
    <s v="S889g"/>
    <x v="3"/>
    <n v="24"/>
  </r>
  <r>
    <s v="Inu-yasha"/>
    <x v="14"/>
    <x v="23"/>
    <s v="n / a"/>
    <n v="10"/>
    <x v="17"/>
    <x v="14"/>
    <x v="1"/>
    <x v="0"/>
    <n v="100"/>
    <m/>
    <s v="T136i"/>
    <x v="9"/>
    <n v="25"/>
  </r>
  <r>
    <s v="Um Jogador"/>
    <x v="12"/>
    <x v="17"/>
    <s v="3a"/>
    <s v="n / a"/>
    <x v="21"/>
    <x v="15"/>
    <x v="9"/>
    <x v="0"/>
    <n v="225"/>
    <s v="891.73"/>
    <s v="D724j"/>
    <x v="8"/>
    <n v="26"/>
  </r>
  <r>
    <s v="O Nome da Rosa"/>
    <x v="12"/>
    <x v="24"/>
    <s v="1a"/>
    <s v="n / a"/>
    <x v="22"/>
    <x v="6"/>
    <x v="1"/>
    <x v="0"/>
    <n v="554"/>
    <n v="853"/>
    <s v="E19n"/>
    <x v="6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n v="28"/>
  </r>
  <r>
    <s v="Pais e Filhos"/>
    <x v="12"/>
    <x v="25"/>
    <s v="1a"/>
    <s v="n / a"/>
    <x v="23"/>
    <x v="17"/>
    <x v="1"/>
    <x v="0"/>
    <n v="242"/>
    <m/>
    <s v="T937p"/>
    <x v="8"/>
    <n v="29"/>
  </r>
  <r>
    <s v="Persépolis"/>
    <x v="15"/>
    <x v="26"/>
    <s v="1a"/>
    <s v="n / a"/>
    <x v="24"/>
    <x v="11"/>
    <x v="1"/>
    <x v="0"/>
    <s v=" (?)"/>
    <n v="741"/>
    <s v="S253p"/>
    <x v="10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n v="32"/>
  </r>
  <r>
    <s v="Star Wars:  O Último Comando"/>
    <x v="13"/>
    <x v="27"/>
    <s v="1a"/>
    <s v="n / a"/>
    <x v="16"/>
    <x v="16"/>
    <x v="10"/>
    <x v="0"/>
    <n v="523"/>
    <n v="813"/>
    <s v="Z19sc"/>
    <x v="3"/>
    <n v="33"/>
  </r>
  <r>
    <s v="Watchmen"/>
    <x v="15"/>
    <x v="28"/>
    <s v="1a"/>
    <s v="n / a"/>
    <x v="25"/>
    <x v="16"/>
    <x v="1"/>
    <x v="1"/>
    <n v="414"/>
    <m/>
    <s v="M821w"/>
    <x v="5"/>
    <n v="34"/>
  </r>
  <r>
    <s v="Fever Pitch"/>
    <x v="13"/>
    <x v="29"/>
    <s v="1a"/>
    <s v="n / a"/>
    <x v="26"/>
    <x v="18"/>
    <x v="1"/>
    <x v="1"/>
    <n v="237"/>
    <m/>
    <s v="H814f"/>
    <x v="3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n v="36"/>
  </r>
  <r>
    <s v="Antologia Poética"/>
    <x v="16"/>
    <x v="31"/>
    <s v="65a"/>
    <s v="n / a"/>
    <x v="15"/>
    <x v="3"/>
    <x v="1"/>
    <x v="0"/>
    <n v="370"/>
    <s v="869.91"/>
    <s v="A566a"/>
    <x v="1"/>
    <n v="37"/>
  </r>
  <r>
    <s v="Castelos de Marzipã"/>
    <x v="17"/>
    <x v="32"/>
    <s v="1a"/>
    <s v="n / a"/>
    <x v="28"/>
    <x v="7"/>
    <x v="1"/>
    <x v="0"/>
    <n v="379"/>
    <s v="133.9"/>
    <s v="A485c"/>
    <x v="1"/>
    <n v="38"/>
  </r>
  <r>
    <s v="Um Certo Jaques Netan"/>
    <x v="16"/>
    <x v="33"/>
    <s v="1a"/>
    <s v="n / a"/>
    <x v="29"/>
    <x v="19"/>
    <x v="1"/>
    <x v="0"/>
    <n v="74"/>
    <m/>
    <s v="N417c"/>
    <x v="1"/>
    <n v="39"/>
  </r>
  <r>
    <s v="O Cético"/>
    <x v="17"/>
    <x v="34"/>
    <s v="2a"/>
    <s v="n / a"/>
    <x v="28"/>
    <x v="7"/>
    <x v="1"/>
    <x v="0"/>
    <n v="256"/>
    <s v="133.9"/>
    <s v="M466c"/>
    <x v="1"/>
    <n v="40"/>
  </r>
  <r>
    <s v="O Conde de Montecristo"/>
    <x v="12"/>
    <x v="35"/>
    <s v="2a"/>
    <n v="51"/>
    <x v="6"/>
    <x v="1"/>
    <x v="3"/>
    <x v="0"/>
    <n v="626"/>
    <m/>
    <s v="D886ca"/>
    <x v="11"/>
    <n v="41"/>
  </r>
  <r>
    <s v="O Conde de Montecristo (segundo livro)"/>
    <x v="12"/>
    <x v="35"/>
    <s v="2a"/>
    <n v="52"/>
    <x v="6"/>
    <x v="1"/>
    <x v="3"/>
    <x v="0"/>
    <n v="599"/>
    <m/>
    <s v="D886cb"/>
    <x v="11"/>
    <n v="42"/>
  </r>
  <r>
    <s v="Deadhouse Gates"/>
    <x v="13"/>
    <x v="36"/>
    <s v="n /a "/>
    <n v="2"/>
    <x v="19"/>
    <x v="20"/>
    <x v="12"/>
    <x v="1"/>
    <n v="960"/>
    <m/>
    <s v="E68d"/>
    <x v="12"/>
    <n v="43"/>
  </r>
  <r>
    <s v="Dom Quixote (segundo livro)"/>
    <x v="12"/>
    <x v="37"/>
    <s v="1a"/>
    <n v="401"/>
    <x v="5"/>
    <x v="15"/>
    <x v="2"/>
    <x v="0"/>
    <n v="513"/>
    <n v="863"/>
    <s v="C419db"/>
    <x v="13"/>
    <n v="44"/>
  </r>
  <r>
    <s v="Dom Quixote (primeiro livro)"/>
    <x v="12"/>
    <x v="37"/>
    <s v="1a"/>
    <n v="400"/>
    <x v="5"/>
    <x v="8"/>
    <x v="2"/>
    <x v="0"/>
    <n v="505"/>
    <n v="863"/>
    <s v="C419da"/>
    <x v="13"/>
    <n v="45"/>
  </r>
  <r>
    <s v="Drácula"/>
    <x v="18"/>
    <x v="38"/>
    <s v="1a"/>
    <n v="85"/>
    <x v="5"/>
    <x v="2"/>
    <x v="2"/>
    <x v="0"/>
    <n v="546"/>
    <n v="823"/>
    <s v="S874d"/>
    <x v="14"/>
    <n v="46"/>
  </r>
  <r>
    <s v="Emma"/>
    <x v="12"/>
    <x v="39"/>
    <s v="1a (?)"/>
    <s v="n / a"/>
    <x v="30"/>
    <x v="21"/>
    <x v="13"/>
    <x v="1"/>
    <n v="367"/>
    <m/>
    <s v="A933e"/>
    <x v="5"/>
    <n v="47"/>
  </r>
  <r>
    <s v="The End of Eternity"/>
    <x v="13"/>
    <x v="40"/>
    <s v="1a"/>
    <s v="n / a"/>
    <x v="27"/>
    <x v="22"/>
    <x v="1"/>
    <x v="1"/>
    <n v="189"/>
    <m/>
    <s v="A832e"/>
    <x v="3"/>
    <n v="48"/>
  </r>
  <r>
    <s v="Esaú e Jacó"/>
    <x v="12"/>
    <x v="41"/>
    <s v="3a"/>
    <s v="n / a"/>
    <x v="31"/>
    <x v="23"/>
    <x v="14"/>
    <x v="0"/>
    <n v="324"/>
    <s v="869.93"/>
    <s v="A848e"/>
    <x v="1"/>
    <n v="49"/>
  </r>
  <r>
    <s v="Foi Assim"/>
    <x v="12"/>
    <x v="42"/>
    <s v="1a (?)"/>
    <s v="n / a"/>
    <x v="32"/>
    <x v="24"/>
    <x v="1"/>
    <x v="0"/>
    <n v="330"/>
    <m/>
    <s v="M385f"/>
    <x v="1"/>
    <n v="50"/>
  </r>
  <r>
    <s v="Gardens of the Moon"/>
    <x v="13"/>
    <x v="36"/>
    <s v="n /a "/>
    <n v="1"/>
    <x v="33"/>
    <x v="20"/>
    <x v="12"/>
    <x v="1"/>
    <n v="488"/>
    <m/>
    <s v="E68g"/>
    <x v="12"/>
    <n v="51"/>
  </r>
  <r>
    <s v="Great Expectations"/>
    <x v="12"/>
    <x v="43"/>
    <s v="1a (?)"/>
    <s v="n / a"/>
    <x v="27"/>
    <x v="3"/>
    <x v="11"/>
    <x v="1"/>
    <n v="432"/>
    <m/>
    <s v="D548g"/>
    <x v="5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n v="53"/>
  </r>
  <r>
    <s v="Maus"/>
    <x v="15"/>
    <x v="45"/>
    <s v="1a"/>
    <s v="n / a"/>
    <x v="24"/>
    <x v="25"/>
    <x v="1"/>
    <x v="0"/>
    <n v="296"/>
    <n v="741597"/>
    <s v="S755m"/>
    <x v="3"/>
    <n v="54"/>
  </r>
  <r>
    <s v="O Médico e o Monstro"/>
    <x v="12"/>
    <x v="46"/>
    <s v="6a"/>
    <s v="n / a"/>
    <x v="35"/>
    <x v="11"/>
    <x v="1"/>
    <x v="0"/>
    <n v="111"/>
    <s v="028.5"/>
    <s v="S847m"/>
    <x v="5"/>
    <n v="55"/>
  </r>
  <r>
    <s v="Memórias Inventadas"/>
    <x v="19"/>
    <x v="47"/>
    <s v="1a"/>
    <s v="n / a"/>
    <x v="36"/>
    <x v="1"/>
    <x v="1"/>
    <x v="0"/>
    <n v="153"/>
    <m/>
    <s v="B277m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n v="57"/>
  </r>
  <r>
    <s v="A Menina que Roubava Livros"/>
    <x v="12"/>
    <x v="48"/>
    <s v="1a"/>
    <s v="n / a"/>
    <x v="37"/>
    <x v="11"/>
    <x v="1"/>
    <x v="0"/>
    <n v="478"/>
    <n v="823"/>
    <s v="Z96m"/>
    <x v="15"/>
    <n v="58"/>
  </r>
  <r>
    <s v="Mrs. Dalloway"/>
    <x v="12"/>
    <x v="49"/>
    <s v="1a"/>
    <n v="1033"/>
    <x v="5"/>
    <x v="8"/>
    <x v="2"/>
    <x v="0"/>
    <n v="221"/>
    <n v="823"/>
    <s v="W913m"/>
    <x v="5"/>
    <n v="59"/>
  </r>
  <r>
    <s v="The Name of the Rose"/>
    <x v="12"/>
    <x v="24"/>
    <s v="1st Harvest"/>
    <s v="n / a"/>
    <x v="38"/>
    <x v="21"/>
    <x v="1"/>
    <x v="1"/>
    <n v="502"/>
    <n v="853"/>
    <s v="E19nb"/>
    <x v="6"/>
    <n v="60"/>
  </r>
  <r>
    <s v="Norwegian Wood"/>
    <x v="12"/>
    <x v="50"/>
    <s v="1a"/>
    <s v="n / a"/>
    <x v="39"/>
    <x v="1"/>
    <x v="1"/>
    <x v="0"/>
    <n v="359"/>
    <n v="895"/>
    <s v="M972n"/>
    <x v="9"/>
    <n v="61"/>
  </r>
  <r>
    <s v="On the Road"/>
    <x v="12"/>
    <x v="51"/>
    <s v="1a"/>
    <n v="358"/>
    <x v="5"/>
    <x v="8"/>
    <x v="2"/>
    <x v="0"/>
    <n v="372"/>
    <n v="813"/>
    <s v="K39o"/>
    <x v="3"/>
    <n v="62"/>
  </r>
  <r>
    <s v="Orgulho e Preconceito"/>
    <x v="12"/>
    <x v="39"/>
    <s v="1a"/>
    <n v="243"/>
    <x v="6"/>
    <x v="8"/>
    <x v="3"/>
    <x v="0"/>
    <n v="382"/>
    <n v="823"/>
    <s v="A933o"/>
    <x v="5"/>
    <n v="63"/>
  </r>
  <r>
    <s v="Perdas Necessárias"/>
    <x v="7"/>
    <x v="52"/>
    <s v="25a"/>
    <s v="n / a"/>
    <x v="35"/>
    <x v="26"/>
    <x v="1"/>
    <x v="0"/>
    <n v="335"/>
    <m/>
    <s v="V798p"/>
    <x v="3"/>
    <n v="64"/>
  </r>
  <r>
    <s v="O Processo"/>
    <x v="12"/>
    <x v="53"/>
    <s v="5a"/>
    <n v="41"/>
    <x v="6"/>
    <x v="15"/>
    <x v="3"/>
    <x v="0"/>
    <n v="252"/>
    <n v="833"/>
    <s v="K11p"/>
    <x v="16"/>
    <n v="65"/>
  </r>
  <r>
    <s v="Quincas Borba"/>
    <x v="12"/>
    <x v="41"/>
    <s v="2a. reform."/>
    <s v="n / a"/>
    <x v="31"/>
    <x v="26"/>
    <x v="14"/>
    <x v="0"/>
    <n v="390"/>
    <s v="869.93"/>
    <s v="A848q"/>
    <x v="1"/>
    <n v="66"/>
  </r>
  <r>
    <s v="A Senhora do Solar"/>
    <x v="17"/>
    <x v="54"/>
    <s v="1a"/>
    <s v="n / a"/>
    <x v="40"/>
    <x v="7"/>
    <x v="1"/>
    <x v="0"/>
    <n v="301"/>
    <s v="133.93"/>
    <s v="C284s"/>
    <x v="1"/>
    <n v="67"/>
  </r>
  <r>
    <s v="Sense and Sensibility"/>
    <x v="12"/>
    <x v="39"/>
    <s v="1a"/>
    <s v="n / a"/>
    <x v="30"/>
    <x v="21"/>
    <x v="13"/>
    <x v="1"/>
    <n v="374"/>
    <n v="823"/>
    <s v="A933s"/>
    <x v="5"/>
    <n v="68"/>
  </r>
  <r>
    <s v="Solar"/>
    <x v="12"/>
    <x v="55"/>
    <s v="1a"/>
    <s v="n / a"/>
    <x v="41"/>
    <x v="15"/>
    <x v="1"/>
    <x v="1"/>
    <n v="390"/>
    <m/>
    <s v="M478s"/>
    <x v="5"/>
    <n v="69"/>
  </r>
  <r>
    <s v="Sol Nascente"/>
    <x v="20"/>
    <x v="56"/>
    <s v="1a"/>
    <n v="741"/>
    <x v="42"/>
    <x v="1"/>
    <x v="2"/>
    <x v="0"/>
    <n v="400"/>
    <n v="813"/>
    <s v="C928s"/>
    <x v="3"/>
    <n v="70"/>
  </r>
  <r>
    <s v="Terrorist"/>
    <x v="20"/>
    <x v="57"/>
    <s v="1a"/>
    <s v="n / a"/>
    <x v="43"/>
    <x v="11"/>
    <x v="1"/>
    <x v="1"/>
    <n v="305"/>
    <m/>
    <s v="U66t"/>
    <x v="3"/>
    <n v="71"/>
  </r>
  <r>
    <s v="Gabriela, Cravo e Canela"/>
    <x v="12"/>
    <x v="58"/>
    <s v="2a"/>
    <s v="n / a"/>
    <x v="44"/>
    <x v="6"/>
    <x v="1"/>
    <x v="0"/>
    <n v="321"/>
    <s v="869.93"/>
    <s v="A481g"/>
    <x v="1"/>
    <n v="72"/>
  </r>
  <r>
    <s v="Todos os Contos"/>
    <x v="21"/>
    <x v="59"/>
    <s v="1a"/>
    <s v="n / a"/>
    <x v="45"/>
    <x v="5"/>
    <x v="1"/>
    <x v="0"/>
    <n v="646"/>
    <s v="869.93"/>
    <s v="L771t"/>
    <x v="1"/>
    <n v="73"/>
  </r>
  <r>
    <s v="Como Gerenciar seu Chefe"/>
    <x v="4"/>
    <x v="60"/>
    <s v="1a"/>
    <s v="n / a"/>
    <x v="46"/>
    <x v="15"/>
    <x v="1"/>
    <x v="0"/>
    <n v="126"/>
    <n v="658"/>
    <s v="R343c"/>
    <x v="1"/>
    <n v="74"/>
  </r>
  <r>
    <s v="Trainspotting"/>
    <x v="12"/>
    <x v="61"/>
    <s v="1a (?)"/>
    <s v="n / a"/>
    <x v="41"/>
    <x v="20"/>
    <x v="1"/>
    <x v="1"/>
    <n v="344"/>
    <m/>
    <s v="W461t"/>
    <x v="14"/>
    <n v="75"/>
  </r>
  <r>
    <s v="Les Trois Mousquetaires"/>
    <x v="12"/>
    <x v="35"/>
    <s v="1a"/>
    <s v="n / a"/>
    <x v="47"/>
    <x v="27"/>
    <x v="16"/>
    <x v="2"/>
    <n v="77"/>
    <n v="843"/>
    <s v="D886t"/>
    <x v="11"/>
    <n v="76"/>
  </r>
  <r>
    <s v="Why Nations Fail"/>
    <x v="22"/>
    <x v="62"/>
    <s v="1a"/>
    <s v="n / a"/>
    <x v="48"/>
    <x v="6"/>
    <x v="1"/>
    <x v="1"/>
    <n v="462"/>
    <m/>
    <s v="A173w"/>
    <x v="5"/>
    <n v="77"/>
  </r>
  <r>
    <s v="Seja Feliz : Diga não à Depressão"/>
    <x v="7"/>
    <x v="63"/>
    <s v="1a"/>
    <s v="n / a"/>
    <x v="49"/>
    <x v="7"/>
    <x v="1"/>
    <x v="0"/>
    <n v="157"/>
    <m/>
    <s v="A365s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n v="80"/>
  </r>
  <r>
    <s v="Onde Encontra a Sabedoria?"/>
    <x v="25"/>
    <x v="65"/>
    <s v="1a"/>
    <s v="n / a"/>
    <x v="51"/>
    <x v="25"/>
    <x v="1"/>
    <x v="0"/>
    <n v="333"/>
    <s v="809.93"/>
    <s v="B655o"/>
    <x v="3"/>
    <n v="81"/>
  </r>
  <r>
    <s v="Mao: A História Desconhecida"/>
    <x v="19"/>
    <x v="66"/>
    <s v="2a"/>
    <s v="n / a"/>
    <x v="44"/>
    <x v="6"/>
    <x v="1"/>
    <x v="0"/>
    <n v="619"/>
    <n v="951"/>
    <s v="C456m"/>
    <x v="3"/>
    <n v="82"/>
  </r>
  <r>
    <s v="Não se Desespere!"/>
    <x v="7"/>
    <x v="67"/>
    <s v="7a"/>
    <n v="1"/>
    <x v="2"/>
    <x v="16"/>
    <x v="17"/>
    <x v="0"/>
    <n v="140"/>
    <n v="100"/>
    <s v="C828na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n v="88"/>
  </r>
  <r>
    <s v="Feliz"/>
    <x v="7"/>
    <x v="71"/>
    <s v="1a"/>
    <s v="n / a"/>
    <x v="53"/>
    <x v="7"/>
    <x v="1"/>
    <x v="0"/>
    <n v="255"/>
    <n v="133901"/>
    <s v="L943f"/>
    <x v="1"/>
    <n v="89"/>
  </r>
  <r>
    <s v="O Cérebro que se Transforma"/>
    <x v="27"/>
    <x v="72"/>
    <s v="1a"/>
    <s v="n / a"/>
    <x v="54"/>
    <x v="15"/>
    <x v="1"/>
    <x v="0"/>
    <n v="340"/>
    <s v="612.8"/>
    <s v="D657c"/>
    <x v="17"/>
    <n v="90"/>
  </r>
  <r>
    <s v="O Jogo das Startups"/>
    <x v="4"/>
    <x v="73"/>
    <s v="1a"/>
    <s v="n / a"/>
    <x v="55"/>
    <x v="6"/>
    <x v="1"/>
    <x v="0"/>
    <n v="208"/>
    <n v="332092"/>
    <s v="D765j"/>
    <x v="3"/>
    <n v="91"/>
  </r>
  <r>
    <s v="Elogio da Loucura"/>
    <x v="2"/>
    <x v="74"/>
    <s v="1a"/>
    <s v="n / a"/>
    <x v="5"/>
    <x v="9"/>
    <x v="2"/>
    <x v="0"/>
    <n v="133"/>
    <m/>
    <s v="E65e"/>
    <x v="6"/>
    <n v="92"/>
  </r>
  <r>
    <s v="História do Brasil"/>
    <x v="28"/>
    <x v="75"/>
    <s v="14a"/>
    <n v="1"/>
    <x v="56"/>
    <x v="6"/>
    <x v="18"/>
    <x v="0"/>
    <n v="566"/>
    <n v="981"/>
    <s v="F268h"/>
    <x v="1"/>
    <n v="93"/>
  </r>
  <r>
    <s v="A Bíblia do Caos"/>
    <x v="13"/>
    <x v="76"/>
    <s v="1a"/>
    <n v="262"/>
    <x v="5"/>
    <x v="5"/>
    <x v="2"/>
    <x v="0"/>
    <n v="624"/>
    <s v="869.97"/>
    <s v="M656b"/>
    <x v="1"/>
    <n v="94"/>
  </r>
  <r>
    <s v="Fotografia do Século XXI"/>
    <x v="29"/>
    <x v="77"/>
    <s v="1a"/>
    <s v="n /a "/>
    <x v="57"/>
    <x v="7"/>
    <x v="1"/>
    <x v="0"/>
    <n v="759"/>
    <m/>
    <s v="L948f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n v="97"/>
  </r>
  <r>
    <s v="Manual de Administração Pessoal"/>
    <x v="4"/>
    <x v="80"/>
    <s v="14a"/>
    <s v="n /a "/>
    <x v="50"/>
    <x v="6"/>
    <x v="1"/>
    <x v="0"/>
    <n v="277"/>
    <m/>
    <s v="I64m"/>
    <x v="1"/>
    <n v="98"/>
  </r>
  <r>
    <s v="Steve Jobs"/>
    <x v="19"/>
    <x v="81"/>
    <s v="1a"/>
    <s v="n /a "/>
    <x v="44"/>
    <x v="15"/>
    <x v="1"/>
    <x v="0"/>
    <n v="586"/>
    <n v="338"/>
    <s v="I74s"/>
    <x v="3"/>
    <n v="99"/>
  </r>
  <r>
    <s v="Os Inovadores"/>
    <x v="19"/>
    <x v="81"/>
    <s v="1a"/>
    <s v="n /a "/>
    <x v="44"/>
    <x v="16"/>
    <x v="1"/>
    <x v="0"/>
    <n v="502"/>
    <n v="4"/>
    <s v="I74i"/>
    <x v="3"/>
    <n v="100"/>
  </r>
  <r>
    <s v="Rápido e Devagar"/>
    <x v="2"/>
    <x v="82"/>
    <s v="1a"/>
    <s v="n /a "/>
    <x v="51"/>
    <x v="6"/>
    <x v="1"/>
    <x v="0"/>
    <n v="555"/>
    <s v="153.42"/>
    <s v="K12r"/>
    <x v="18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n v="102"/>
  </r>
  <r>
    <s v="The Math Book"/>
    <x v="24"/>
    <x v="84"/>
    <s v="1a"/>
    <s v="n / a"/>
    <x v="59"/>
    <x v="25"/>
    <x v="1"/>
    <x v="1"/>
    <n v="516"/>
    <m/>
    <s v="P597m"/>
    <x v="3"/>
    <n v="103"/>
  </r>
  <r>
    <s v="O Capital no Século XXI"/>
    <x v="5"/>
    <x v="85"/>
    <s v="1a"/>
    <s v="n / a"/>
    <x v="37"/>
    <x v="16"/>
    <x v="1"/>
    <x v="0"/>
    <n v="561"/>
    <s v="335.4"/>
    <s v="P636c"/>
    <x v="3"/>
    <n v="104"/>
  </r>
  <r>
    <s v="Prática Administrativas em Escritório"/>
    <x v="4"/>
    <x v="86"/>
    <s v="1a"/>
    <s v="n / a"/>
    <x v="50"/>
    <x v="6"/>
    <x v="1"/>
    <x v="0"/>
    <n v="152"/>
    <m/>
    <s v="P912p"/>
    <x v="1"/>
    <n v="105"/>
  </r>
  <r>
    <s v="Boas Notícias"/>
    <x v="7"/>
    <x v="87"/>
    <s v="2a"/>
    <s v="n / a"/>
    <x v="60"/>
    <x v="15"/>
    <x v="1"/>
    <x v="0"/>
    <n v="140"/>
    <m/>
    <s v="M433ba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n v="107"/>
  </r>
  <r>
    <s v="Essencialismo"/>
    <x v="2"/>
    <x v="88"/>
    <s v="1a"/>
    <s v="n / a"/>
    <x v="8"/>
    <x v="7"/>
    <x v="1"/>
    <x v="0"/>
    <n v="254"/>
    <s v="658.31"/>
    <s v="M478e"/>
    <x v="5"/>
    <n v="108"/>
  </r>
  <r>
    <s v="Ecce Homo"/>
    <x v="0"/>
    <x v="10"/>
    <s v="1a ed. comentada"/>
    <n v="301"/>
    <x v="5"/>
    <x v="26"/>
    <x v="2"/>
    <x v="0"/>
    <n v="164"/>
    <m/>
    <s v="N677e"/>
    <x v="2"/>
    <n v="109"/>
  </r>
  <r>
    <s v="A Revolta de Atlas I"/>
    <x v="13"/>
    <x v="89"/>
    <s v="1a"/>
    <n v="1"/>
    <x v="34"/>
    <x v="3"/>
    <x v="19"/>
    <x v="0"/>
    <n v="351"/>
    <n v="813"/>
    <s v="R186ra"/>
    <x v="3"/>
    <n v="110"/>
  </r>
  <r>
    <s v="A Revolta de Atlas II"/>
    <x v="13"/>
    <x v="89"/>
    <s v="1a"/>
    <n v="2"/>
    <x v="34"/>
    <x v="3"/>
    <x v="19"/>
    <x v="0"/>
    <n v="381"/>
    <n v="813"/>
    <s v="R186rb"/>
    <x v="3"/>
    <n v="111"/>
  </r>
  <r>
    <s v="A Revolta de Atlas III"/>
    <x v="13"/>
    <x v="89"/>
    <s v="1a"/>
    <n v="3"/>
    <x v="34"/>
    <x v="3"/>
    <x v="19"/>
    <x v="0"/>
    <n v="495"/>
    <n v="813"/>
    <s v="R186rc"/>
    <x v="3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n v="113"/>
  </r>
  <r>
    <s v="As Confissões"/>
    <x v="0"/>
    <x v="91"/>
    <s v="1a"/>
    <n v="57"/>
    <x v="6"/>
    <x v="15"/>
    <x v="3"/>
    <x v="0"/>
    <n v="617"/>
    <n v="848092"/>
    <s v="R865c"/>
    <x v="11"/>
    <n v="114"/>
  </r>
  <r>
    <s v="Como o Google funciona"/>
    <x v="4"/>
    <x v="92"/>
    <s v="1a"/>
    <s v="n / a"/>
    <x v="63"/>
    <x v="7"/>
    <x v="1"/>
    <x v="0"/>
    <n v="285"/>
    <n v="658"/>
    <s v="S349c"/>
    <x v="3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n v="116"/>
  </r>
  <r>
    <s v="O Sinal e o Ruído"/>
    <x v="30"/>
    <x v="94"/>
    <s v="1a"/>
    <s v="n / a"/>
    <x v="63"/>
    <x v="8"/>
    <x v="1"/>
    <x v="0"/>
    <n v="462"/>
    <s v="519.5"/>
    <s v="S587s"/>
    <x v="3"/>
    <n v="117"/>
  </r>
  <r>
    <s v="Ética demonstrada à maneira dos geômetras"/>
    <x v="2"/>
    <x v="95"/>
    <s v="1a"/>
    <n v="8"/>
    <x v="6"/>
    <x v="10"/>
    <x v="3"/>
    <x v="0"/>
    <n v="407"/>
    <n v="100"/>
    <s v="S758e"/>
    <x v="19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n v="119"/>
  </r>
  <r>
    <s v="A Arte da Guerra"/>
    <x v="32"/>
    <x v="97"/>
    <s v="1a. trilíngue"/>
    <s v="n / a"/>
    <x v="65"/>
    <x v="29"/>
    <x v="1"/>
    <x v="3"/>
    <n v="248"/>
    <m/>
    <s v="T999a"/>
    <x v="7"/>
    <n v="120"/>
  </r>
  <r>
    <s v="A Lógica do Cisne Negro"/>
    <x v="30"/>
    <x v="98"/>
    <s v="11a"/>
    <s v="n / a"/>
    <x v="66"/>
    <x v="2"/>
    <x v="1"/>
    <x v="0"/>
    <n v="366"/>
    <s v="003.54"/>
    <s v="T143l"/>
    <x v="3"/>
    <n v="121"/>
  </r>
  <r>
    <s v="República Alvorada"/>
    <x v="33"/>
    <x v="99"/>
    <s v="1a"/>
    <s v="n / a"/>
    <x v="67"/>
    <x v="6"/>
    <x v="1"/>
    <x v="0"/>
    <n v="136"/>
    <m/>
    <s v="U38r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n v="127"/>
  </r>
  <r>
    <s v="Programa Escolar de Pesquisa I"/>
    <x v="35"/>
    <x v="105"/>
    <s v="1a"/>
    <n v="1"/>
    <x v="70"/>
    <x v="30"/>
    <x v="21"/>
    <x v="0"/>
    <n v="166"/>
    <m/>
    <s v="P474pa"/>
    <x v="1"/>
    <n v="128"/>
  </r>
  <r>
    <s v="Programa Escolar de Pesquisa II"/>
    <x v="35"/>
    <x v="105"/>
    <s v="1a"/>
    <n v="2"/>
    <x v="70"/>
    <x v="30"/>
    <x v="21"/>
    <x v="0"/>
    <n v="166"/>
    <m/>
    <s v="P474pb"/>
    <x v="1"/>
    <n v="129"/>
  </r>
  <r>
    <s v="Programa Escolar de Pesquisa III"/>
    <x v="35"/>
    <x v="105"/>
    <s v="1a"/>
    <n v="3"/>
    <x v="70"/>
    <x v="30"/>
    <x v="21"/>
    <x v="0"/>
    <n v="166"/>
    <m/>
    <s v="P474pc"/>
    <x v="1"/>
    <n v="130"/>
  </r>
  <r>
    <s v="Programa Escolar de Pesquisa IV"/>
    <x v="35"/>
    <x v="105"/>
    <s v="1a"/>
    <n v="4"/>
    <x v="70"/>
    <x v="30"/>
    <x v="21"/>
    <x v="0"/>
    <n v="166"/>
    <m/>
    <s v="P474pd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n v="133"/>
  </r>
  <r>
    <s v="Português Prático"/>
    <x v="37"/>
    <x v="108"/>
    <s v="1a"/>
    <s v="n / a"/>
    <x v="72"/>
    <x v="31"/>
    <x v="1"/>
    <x v="0"/>
    <n v="453"/>
    <m/>
    <s v="P853p"/>
    <x v="1"/>
    <n v="134"/>
  </r>
  <r>
    <s v="Química (Ensino Médio)"/>
    <x v="38"/>
    <x v="109"/>
    <s v="2a"/>
    <n v="1"/>
    <x v="73"/>
    <x v="26"/>
    <x v="22"/>
    <x v="0"/>
    <n v="354"/>
    <s v="540.7"/>
    <s v="P471q"/>
    <x v="1"/>
    <n v="135"/>
  </r>
  <r>
    <s v="Continuum Mechanics for Engineers"/>
    <x v="39"/>
    <x v="110"/>
    <s v="3a"/>
    <s v="n / a"/>
    <x v="74"/>
    <x v="25"/>
    <x v="1"/>
    <x v="1"/>
    <n v="359"/>
    <m/>
    <s v="M396c"/>
    <x v="3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n v="137"/>
  </r>
  <r>
    <s v="Elementos de Eletrônica Digital"/>
    <x v="40"/>
    <x v="112"/>
    <s v="10a"/>
    <s v="n / a"/>
    <x v="76"/>
    <x v="32"/>
    <x v="1"/>
    <x v="0"/>
    <n v="504"/>
    <n v="621381"/>
    <s v="I21e"/>
    <x v="1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n v="139"/>
  </r>
  <r>
    <s v="Viva Natural"/>
    <x v="42"/>
    <x v="114"/>
    <s v="1a"/>
    <s v="n / a"/>
    <x v="78"/>
    <x v="33"/>
    <x v="1"/>
    <x v="0"/>
    <n v="255"/>
    <m/>
    <s v="B579v"/>
    <x v="1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n v="142"/>
  </r>
  <r>
    <s v="Minigramática"/>
    <x v="43"/>
    <x v="116"/>
    <s v="2a"/>
    <s v="n / a"/>
    <x v="11"/>
    <x v="18"/>
    <x v="1"/>
    <x v="0"/>
    <n v="526"/>
    <m/>
    <s v="S729m"/>
    <x v="1"/>
    <n v="143"/>
  </r>
  <r>
    <s v="Mini Aurélio - 8a edição"/>
    <x v="43"/>
    <x v="117"/>
    <s v="8a"/>
    <s v="n / a"/>
    <x v="80"/>
    <x v="16"/>
    <x v="1"/>
    <x v="0"/>
    <n v="856"/>
    <n v="30"/>
    <s v="A168m"/>
    <x v="1"/>
    <n v="144"/>
  </r>
  <r>
    <s v="Mini Aurélio - 7a edição"/>
    <x v="43"/>
    <x v="117"/>
    <s v="7a"/>
    <s v="n / a"/>
    <x v="80"/>
    <x v="1"/>
    <x v="1"/>
    <x v="0"/>
    <n v="894"/>
    <n v="30"/>
    <s v="A168mb"/>
    <x v="1"/>
    <n v="145"/>
  </r>
  <r>
    <s v="Langenscheidt Taschenwörterbuch Portugiesisch"/>
    <x v="43"/>
    <x v="118"/>
    <s v="(?)"/>
    <s v="n / a"/>
    <x v="81"/>
    <x v="29"/>
    <x v="1"/>
    <x v="6"/>
    <n v="1344"/>
    <m/>
    <s v="L275l"/>
    <x v="2"/>
    <n v="146"/>
  </r>
  <r>
    <s v="Minidicionário Inglês"/>
    <x v="43"/>
    <x v="119"/>
    <s v="(?)"/>
    <s v="(?)"/>
    <x v="35"/>
    <x v="29"/>
    <x v="1"/>
    <x v="4"/>
    <n v="618"/>
    <m/>
    <s v="M622m"/>
    <x v="1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n v="149"/>
  </r>
  <r>
    <s v="O Poder da Esperança"/>
    <x v="7"/>
    <x v="122"/>
    <s v="1a"/>
    <s v="n / a"/>
    <x v="78"/>
    <x v="2"/>
    <x v="1"/>
    <x v="0"/>
    <n v="96"/>
    <m/>
    <s v="M521p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n v="151"/>
  </r>
  <r>
    <s v="O Tear do Destino"/>
    <x v="17"/>
    <x v="124"/>
    <s v="1a"/>
    <s v="n / a"/>
    <x v="84"/>
    <x v="16"/>
    <x v="1"/>
    <x v="0"/>
    <n v="254"/>
    <m/>
    <s v="C672t"/>
    <x v="1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d_Assunt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4">
    <pivotField compact="0" outline="0" showAll="0"/>
    <pivotField axis="axisRow" compact="0" outline="0" showAll="0" sortType="descending">
      <items count="83">
        <item x="4"/>
        <item m="1" x="52"/>
        <item x="7"/>
        <item m="1" x="72"/>
        <item x="9"/>
        <item m="1" x="54"/>
        <item m="1" x="80"/>
        <item x="5"/>
        <item m="1" x="73"/>
        <item m="1" x="76"/>
        <item m="1" x="60"/>
        <item x="13"/>
        <item m="1" x="77"/>
        <item m="1" x="53"/>
        <item m="1" x="57"/>
        <item m="1" x="74"/>
        <item m="1" x="63"/>
        <item m="1" x="66"/>
        <item x="2"/>
        <item m="1" x="78"/>
        <item m="1" x="64"/>
        <item x="16"/>
        <item x="8"/>
        <item x="1"/>
        <item x="6"/>
        <item x="12"/>
        <item m="1" x="62"/>
        <item m="1" x="69"/>
        <item x="10"/>
        <item m="1" x="48"/>
        <item m="1" x="58"/>
        <item m="1" x="61"/>
        <item m="1" x="55"/>
        <item m="1" x="50"/>
        <item m="1" x="65"/>
        <item m="1" x="68"/>
        <item x="22"/>
        <item x="23"/>
        <item x="24"/>
        <item x="25"/>
        <item x="19"/>
        <item m="1" x="75"/>
        <item x="26"/>
        <item m="1" x="70"/>
        <item x="27"/>
        <item x="28"/>
        <item m="1" x="79"/>
        <item m="1" x="51"/>
        <item m="1" x="67"/>
        <item x="0"/>
        <item m="1" x="81"/>
        <item m="1" x="56"/>
        <item x="30"/>
        <item x="31"/>
        <item x="3"/>
        <item x="11"/>
        <item x="14"/>
        <item x="15"/>
        <item x="17"/>
        <item x="18"/>
        <item x="20"/>
        <item x="21"/>
        <item m="1" x="49"/>
        <item m="1" x="59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3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d_Autor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4">
    <pivotField compact="0" outline="0" showAll="0"/>
    <pivotField compact="0" outline="0" showAll="0"/>
    <pivotField axis="axisRow" compact="0" outline="0" showAll="0" sortType="descending">
      <items count="143">
        <item m="1" x="133"/>
        <item m="1" x="134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x="12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7"/>
        <item x="84"/>
        <item m="1" x="130"/>
        <item m="1" x="141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38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5"/>
        <item m="1" x="136"/>
        <item m="1" x="131"/>
        <item m="1" x="140"/>
        <item m="1" x="139"/>
        <item x="121"/>
        <item x="13"/>
        <item x="70"/>
        <item x="46"/>
        <item x="124"/>
        <item x="23"/>
        <item x="19"/>
        <item x="0"/>
        <item m="1" x="132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2"/>
    </i>
    <i>
      <x v="78"/>
    </i>
    <i>
      <x v="137"/>
    </i>
    <i>
      <x v="6"/>
    </i>
    <i>
      <x v="126"/>
    </i>
    <i>
      <x v="17"/>
    </i>
    <i>
      <x v="22"/>
    </i>
    <i>
      <x v="80"/>
    </i>
    <i>
      <x v="23"/>
    </i>
    <i>
      <x v="96"/>
    </i>
    <i>
      <x v="24"/>
    </i>
    <i>
      <x v="117"/>
    </i>
    <i>
      <x v="10"/>
    </i>
    <i>
      <x v="4"/>
    </i>
    <i>
      <x v="26"/>
    </i>
    <i>
      <x v="84"/>
    </i>
    <i>
      <x v="27"/>
    </i>
    <i>
      <x v="92"/>
    </i>
    <i>
      <x v="28"/>
    </i>
    <i>
      <x v="100"/>
    </i>
    <i>
      <x v="29"/>
    </i>
    <i>
      <x v="113"/>
    </i>
    <i>
      <x v="30"/>
    </i>
    <i>
      <x v="122"/>
    </i>
    <i>
      <x v="31"/>
    </i>
    <i>
      <x v="3"/>
    </i>
    <i>
      <x v="33"/>
    </i>
    <i>
      <x v="14"/>
    </i>
    <i>
      <x v="36"/>
    </i>
    <i>
      <x v="82"/>
    </i>
    <i>
      <x v="37"/>
    </i>
    <i>
      <x v="86"/>
    </i>
    <i>
      <x v="38"/>
    </i>
    <i>
      <x v="90"/>
    </i>
    <i>
      <x v="39"/>
    </i>
    <i>
      <x v="94"/>
    </i>
    <i>
      <x v="11"/>
    </i>
    <i>
      <x v="98"/>
    </i>
    <i>
      <x v="41"/>
    </i>
    <i>
      <x v="102"/>
    </i>
    <i>
      <x v="42"/>
    </i>
    <i>
      <x v="106"/>
    </i>
    <i>
      <x v="43"/>
    </i>
    <i>
      <x v="115"/>
    </i>
    <i>
      <x v="44"/>
    </i>
    <i>
      <x v="119"/>
    </i>
    <i>
      <x v="45"/>
    </i>
    <i>
      <x v="124"/>
    </i>
    <i>
      <x v="46"/>
    </i>
    <i>
      <x v="128"/>
    </i>
    <i>
      <x v="47"/>
    </i>
    <i>
      <x v="19"/>
    </i>
    <i>
      <x v="48"/>
    </i>
    <i>
      <x v="21"/>
    </i>
    <i>
      <x v="49"/>
    </i>
    <i>
      <x v="79"/>
    </i>
    <i>
      <x v="50"/>
    </i>
    <i>
      <x v="15"/>
    </i>
    <i>
      <x v="52"/>
    </i>
    <i>
      <x v="83"/>
    </i>
    <i>
      <x v="53"/>
    </i>
    <i>
      <x v="5"/>
    </i>
    <i>
      <x v="54"/>
    </i>
    <i>
      <x v="87"/>
    </i>
    <i>
      <x v="12"/>
    </i>
    <i>
      <x v="89"/>
    </i>
    <i>
      <x v="56"/>
    </i>
    <i>
      <x v="91"/>
    </i>
    <i>
      <x v="57"/>
    </i>
    <i>
      <x v="93"/>
    </i>
    <i>
      <x v="58"/>
    </i>
    <i>
      <x v="95"/>
    </i>
    <i>
      <x v="59"/>
    </i>
    <i>
      <x v="16"/>
    </i>
    <i>
      <x v="60"/>
    </i>
    <i>
      <x v="99"/>
    </i>
    <i>
      <x v="61"/>
    </i>
    <i>
      <x v="101"/>
    </i>
    <i>
      <x v="62"/>
    </i>
    <i>
      <x v="103"/>
    </i>
    <i>
      <x v="63"/>
    </i>
    <i>
      <x v="105"/>
    </i>
    <i>
      <x v="64"/>
    </i>
    <i>
      <x v="112"/>
    </i>
    <i>
      <x v="65"/>
    </i>
    <i>
      <x v="114"/>
    </i>
    <i>
      <x v="66"/>
    </i>
    <i>
      <x v="116"/>
    </i>
    <i>
      <x v="67"/>
    </i>
    <i>
      <x v="118"/>
    </i>
    <i>
      <x v="138"/>
    </i>
    <i>
      <x v="7"/>
    </i>
    <i>
      <x v="139"/>
    </i>
    <i>
      <x v="123"/>
    </i>
    <i>
      <x v="13"/>
    </i>
    <i>
      <x v="18"/>
    </i>
    <i>
      <x v="136"/>
    </i>
    <i>
      <x v="127"/>
    </i>
    <i>
      <x v="9"/>
    </i>
    <i>
      <x v="129"/>
    </i>
    <i>
      <x v="73"/>
    </i>
    <i>
      <x v="131"/>
    </i>
    <i>
      <x v="74"/>
    </i>
    <i>
      <x v="133"/>
    </i>
    <i>
      <x v="75"/>
    </i>
    <i>
      <x v="135"/>
    </i>
    <i>
      <x v="76"/>
    </i>
    <i>
      <x v="77"/>
    </i>
    <i>
      <x v="71"/>
    </i>
    <i>
      <x v="72"/>
    </i>
    <i>
      <x v="140"/>
    </i>
    <i>
      <x v="69"/>
    </i>
    <i>
      <x v="70"/>
    </i>
  </rowItems>
  <colItems count="1">
    <i/>
  </colItems>
  <dataFields count="1">
    <dataField name="Total" fld="13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d_Cole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S3:T29" firstHeaderRow="1" firstDataRow="1" firstDataCol="1"/>
  <pivotFields count="14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3" subtotal="count" baseField="0" baseItem="0"/>
  </dataFields>
  <formats count="1">
    <format dxfId="3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d_Editora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>
  <location ref="G3:H92" firstHeaderRow="1" firstDataRow="1" firstDataCol="1"/>
  <pivotFields count="14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3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d_Idiom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4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showAll="0" sortType="descending">
      <items count="10">
        <item x="1"/>
        <item x="0"/>
        <item m="1" x="7"/>
        <item x="2"/>
        <item x="3"/>
        <item m="1" x="8"/>
        <item x="5"/>
        <item x="6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6"/>
    </i>
    <i>
      <x v="7"/>
    </i>
    <i>
      <x v="3"/>
    </i>
    <i>
      <x v="4"/>
    </i>
  </rowItems>
  <colItems count="1">
    <i/>
  </colItems>
  <dataFields count="1">
    <dataField name="Total" fld="13" subtotal="count" baseField="0" baseItem="53995144"/>
  </dataFields>
  <chartFormats count="1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d_An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P3:Q37" firstHeaderRow="1" firstDataRow="1" firstDataCol="1"/>
  <pivotFields count="14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5">
        <item x="17"/>
        <item x="33"/>
        <item x="0"/>
        <item x="32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30"/>
        <item x="24"/>
        <item x="14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6"/>
  </rowFields>
  <rowItems count="34">
    <i>
      <x v="22"/>
    </i>
    <i>
      <x v="24"/>
    </i>
    <i>
      <x v="21"/>
    </i>
    <i>
      <x v="23"/>
    </i>
    <i>
      <x v="18"/>
    </i>
    <i>
      <x v="20"/>
    </i>
    <i>
      <x v="25"/>
    </i>
    <i>
      <x v="17"/>
    </i>
    <i>
      <x v="19"/>
    </i>
    <i>
      <x v="26"/>
    </i>
    <i>
      <x v="27"/>
    </i>
    <i>
      <x v="15"/>
    </i>
    <i>
      <x v="30"/>
    </i>
    <i>
      <x v="13"/>
    </i>
    <i>
      <x v="16"/>
    </i>
    <i>
      <x v="29"/>
    </i>
    <i>
      <x v="11"/>
    </i>
    <i>
      <x v="6"/>
    </i>
    <i>
      <x v="8"/>
    </i>
    <i>
      <x v="32"/>
    </i>
    <i>
      <x v="1"/>
    </i>
    <i>
      <x v="3"/>
    </i>
    <i>
      <x/>
    </i>
    <i>
      <x v="7"/>
    </i>
    <i>
      <x v="12"/>
    </i>
    <i>
      <x v="31"/>
    </i>
    <i>
      <x v="28"/>
    </i>
    <i>
      <x v="4"/>
    </i>
    <i>
      <x v="14"/>
    </i>
    <i>
      <x v="5"/>
    </i>
    <i>
      <x v="2"/>
    </i>
    <i>
      <x v="33"/>
    </i>
    <i>
      <x v="9"/>
    </i>
    <i>
      <x v="10"/>
    </i>
  </rowItems>
  <colItems count="1">
    <i/>
  </colItems>
  <dataFields count="1">
    <dataField name="Total" fld="13" subtotal="count" baseField="0" baseItem="0"/>
  </dataFields>
  <formats count="3">
    <format dxfId="37">
      <pivotArea dataOnly="0" labelOnly="1" outline="0" fieldPosition="0">
        <references count="1">
          <reference field="6" count="0"/>
        </references>
      </pivotArea>
    </format>
    <format dxfId="36">
      <pivotArea dataOnly="0" labelOnly="1" outline="0" axis="axisValues" fieldPosition="0"/>
    </format>
    <format dxfId="3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d_Paí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3" firstHeaderRow="1" firstDataRow="1" firstDataCol="1"/>
  <pivotFields count="14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"/>
        <item x="7"/>
        <item x="3"/>
        <item x="0"/>
        <item x="5"/>
        <item x="10"/>
        <item x="6"/>
        <item x="9"/>
        <item x="8"/>
        <item x="4"/>
        <item x="11"/>
        <item x="12"/>
        <item x="13"/>
        <item m="1" x="20"/>
        <item x="14"/>
        <item x="15"/>
        <item x="16"/>
        <item x="17"/>
        <item x="18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</pivotFields>
  <rowFields count="1">
    <field x="12"/>
  </rowFields>
  <rowItems count="20">
    <i>
      <x v="1"/>
    </i>
    <i>
      <x v="3"/>
    </i>
    <i>
      <x v="5"/>
    </i>
    <i>
      <x/>
    </i>
    <i>
      <x v="11"/>
    </i>
    <i>
      <x v="8"/>
    </i>
    <i>
      <x v="7"/>
    </i>
    <i>
      <x v="9"/>
    </i>
    <i>
      <x v="15"/>
    </i>
    <i>
      <x v="2"/>
    </i>
    <i>
      <x v="12"/>
    </i>
    <i>
      <x v="13"/>
    </i>
    <i>
      <x v="20"/>
    </i>
    <i>
      <x v="18"/>
    </i>
    <i>
      <x v="17"/>
    </i>
    <i>
      <x v="10"/>
    </i>
    <i>
      <x v="19"/>
    </i>
    <i>
      <x v="4"/>
    </i>
    <i>
      <x v="6"/>
    </i>
    <i>
      <x v="16"/>
    </i>
  </rowItems>
  <colItems count="1">
    <i/>
  </colItems>
  <dataFields count="1">
    <dataField name="Total" fld="13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20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N158" totalsRowShown="0" headerRowDxfId="33" dataDxfId="32" headerRowBorderDxfId="30" tableBorderDxfId="31">
  <autoFilter ref="A2:N158" xr:uid="{B31BCB59-CBD0-439E-BBBA-CE0AC5B2880B}"/>
  <sortState xmlns:xlrd2="http://schemas.microsoft.com/office/spreadsheetml/2017/richdata2" ref="A3:N72">
    <sortCondition ref="N2:N72"/>
  </sortState>
  <tableColumns count="14">
    <tableColumn id="1" xr3:uid="{0C5F41F9-58D9-4F45-87BB-999CB1232434}" name="TÍTULO" dataDxfId="28" totalsRowDxfId="29"/>
    <tableColumn id="2" xr3:uid="{F69C6FEC-2424-4E51-A50E-61B0D1FC308D}" name="ASSUNTO" dataDxfId="26" totalsRowDxfId="27"/>
    <tableColumn id="3" xr3:uid="{10CF6132-4477-44D3-A734-D359F9710DDE}" name="AUTOR" dataDxfId="24" totalsRowDxfId="25"/>
    <tableColumn id="4" xr3:uid="{D3D0472B-751A-4551-A42E-496660A3C6EA}" name="EDIÇÃO" dataDxfId="22" totalsRowDxfId="23"/>
    <tableColumn id="5" xr3:uid="{3DAD1955-B407-42D9-A940-F4F4B78C11E7}" name="VOLUME" dataDxfId="20" totalsRowDxfId="21"/>
    <tableColumn id="6" xr3:uid="{36232F8B-9CBE-46A3-9E57-B8BB77DE3416}" name="EDITORA" dataDxfId="18" totalsRowDxfId="19"/>
    <tableColumn id="7" xr3:uid="{7835AD41-5487-4DE6-B5D6-9DD62684E009}" name="ANO" dataDxfId="16" totalsRowDxfId="17"/>
    <tableColumn id="8" xr3:uid="{E138D237-6C52-440A-8C15-FD6C5DFD8276}" name="COLEÇÃO" dataDxfId="14" totalsRowDxfId="15"/>
    <tableColumn id="9" xr3:uid="{D240AC32-30E6-4B7E-944E-600BDE74253F}" name="IDIOMA" dataDxfId="12" totalsRowDxfId="13"/>
    <tableColumn id="10" xr3:uid="{8BB00431-BC04-4A9F-A097-A8A2BF70E37D}" name="PÁGINAS" dataDxfId="10" totalsRowDxfId="11"/>
    <tableColumn id="11" xr3:uid="{6A7BF096-545E-40B8-80BC-4CA4B3081D9E}" name="CDD" dataDxfId="8" totalsRowDxfId="9"/>
    <tableColumn id="13" xr3:uid="{55B8682F-C610-421D-A738-DBB4214713BB}" name="CUTTER" dataDxfId="6" totalsRowDxfId="7"/>
    <tableColumn id="15" xr3:uid="{B2F45359-CCCA-4DB1-AEAF-4834080124BA}" name="PAÍS DA OBRA ORIGINAL" dataDxfId="4" totalsRowDxfId="5"/>
    <tableColumn id="12" xr3:uid="{44C1E41B-667E-4F7E-8C9C-ED8558DF1C55}" name="ID" dataDxfId="2" totalsRowDxfId="3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2:Q19"/>
  <sheetViews>
    <sheetView showGridLines="0" tabSelected="1" zoomScale="82" zoomScaleNormal="82" workbookViewId="0">
      <selection activeCell="A3" sqref="A3"/>
    </sheetView>
  </sheetViews>
  <sheetFormatPr defaultRowHeight="15" x14ac:dyDescent="0.25"/>
  <cols>
    <col min="1" max="17" width="10.7109375" customWidth="1"/>
  </cols>
  <sheetData>
    <row r="2" spans="1:17" ht="22.5" x14ac:dyDescent="0.45">
      <c r="A2" s="152" t="s">
        <v>751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4"/>
    </row>
    <row r="3" spans="1:17" ht="28.5" x14ac:dyDescent="0.45">
      <c r="A3" s="53"/>
      <c r="B3" s="54"/>
      <c r="C3" s="54"/>
      <c r="D3" s="54"/>
      <c r="E3" s="54"/>
      <c r="F3" s="54"/>
      <c r="G3" s="54"/>
      <c r="H3" s="55"/>
      <c r="I3" s="55"/>
      <c r="J3" s="56"/>
      <c r="K3" s="60"/>
      <c r="L3" s="60"/>
      <c r="M3" s="100"/>
      <c r="N3" s="100"/>
      <c r="O3" s="100"/>
      <c r="P3" s="101"/>
      <c r="Q3" s="102"/>
    </row>
    <row r="4" spans="1:17" ht="18.75" x14ac:dyDescent="0.3">
      <c r="A4" s="71"/>
      <c r="B4" s="108">
        <f ca="1">SUM(OFFSET('Tabelas Dinâmicas'!$B$4,0,0,COUNTA('Tabelas Dinâmicas'!$B$4:$B$5000),1))</f>
        <v>156</v>
      </c>
      <c r="C4" s="109"/>
      <c r="D4" s="71"/>
      <c r="E4" s="108">
        <f ca="1">COUNTA(bd_Autor)</f>
        <v>129</v>
      </c>
      <c r="F4" s="109"/>
      <c r="G4" s="71"/>
      <c r="H4" s="108">
        <f ca="1">COUNTA(bd_Editora)</f>
        <v>89</v>
      </c>
      <c r="I4" s="109"/>
      <c r="J4" s="75"/>
      <c r="K4" s="61"/>
      <c r="L4" s="94"/>
      <c r="M4" s="94"/>
      <c r="N4" s="60"/>
      <c r="O4" s="103"/>
      <c r="P4" s="103"/>
      <c r="Q4" s="104"/>
    </row>
    <row r="5" spans="1:17" ht="15.75" x14ac:dyDescent="0.25">
      <c r="A5" s="72"/>
      <c r="B5" s="110"/>
      <c r="C5" s="111"/>
      <c r="D5" s="73"/>
      <c r="E5" s="110"/>
      <c r="F5" s="111"/>
      <c r="G5" s="73"/>
      <c r="H5" s="110"/>
      <c r="I5" s="111"/>
      <c r="J5" s="76"/>
      <c r="K5" s="92"/>
      <c r="L5" s="61"/>
      <c r="M5" s="61"/>
      <c r="N5" s="61"/>
      <c r="O5" s="61"/>
      <c r="P5" s="61"/>
      <c r="Q5" s="93"/>
    </row>
    <row r="6" spans="1:17" ht="15.75" x14ac:dyDescent="0.25">
      <c r="A6" s="72"/>
      <c r="B6" s="72"/>
      <c r="C6" s="73"/>
      <c r="D6" s="73"/>
      <c r="E6" s="73"/>
      <c r="F6" s="73"/>
      <c r="G6" s="73"/>
      <c r="H6" s="74"/>
      <c r="I6" s="57"/>
      <c r="J6" s="76"/>
      <c r="K6" s="105" t="s">
        <v>744</v>
      </c>
      <c r="L6" s="106"/>
      <c r="M6" s="106"/>
      <c r="N6" s="106"/>
      <c r="O6" s="106"/>
      <c r="P6" s="106"/>
      <c r="Q6" s="107"/>
    </row>
    <row r="7" spans="1:17" ht="15.75" x14ac:dyDescent="0.25">
      <c r="A7" s="72"/>
      <c r="B7" s="112" t="s">
        <v>741</v>
      </c>
      <c r="C7" s="113"/>
      <c r="D7" s="73"/>
      <c r="E7" s="116" t="s">
        <v>742</v>
      </c>
      <c r="F7" s="117"/>
      <c r="G7" s="73"/>
      <c r="H7" s="116" t="s">
        <v>743</v>
      </c>
      <c r="I7" s="117"/>
      <c r="J7" s="76"/>
      <c r="K7" s="92"/>
      <c r="L7" s="92"/>
      <c r="M7" s="92"/>
      <c r="N7" s="60"/>
      <c r="O7" s="61"/>
      <c r="P7" s="61"/>
      <c r="Q7" s="93"/>
    </row>
    <row r="8" spans="1:17" ht="15.75" x14ac:dyDescent="0.25">
      <c r="A8" s="58"/>
      <c r="B8" s="114"/>
      <c r="C8" s="115"/>
      <c r="D8" s="59"/>
      <c r="E8" s="118"/>
      <c r="F8" s="119"/>
      <c r="G8" s="59"/>
      <c r="H8" s="118"/>
      <c r="I8" s="119"/>
      <c r="J8" s="76"/>
      <c r="K8" s="92"/>
      <c r="L8" s="94"/>
      <c r="M8" s="94"/>
      <c r="N8" s="60"/>
      <c r="O8" s="95"/>
      <c r="P8" s="95"/>
      <c r="Q8" s="93"/>
    </row>
    <row r="9" spans="1:17" ht="15.75" x14ac:dyDescent="0.25">
      <c r="A9" s="67"/>
      <c r="B9" s="68"/>
      <c r="C9" s="68"/>
      <c r="D9" s="68"/>
      <c r="E9" s="68"/>
      <c r="F9" s="68"/>
      <c r="G9" s="68"/>
      <c r="H9" s="68"/>
      <c r="I9" s="68"/>
      <c r="J9" s="69"/>
      <c r="K9" s="94"/>
      <c r="L9" s="96"/>
      <c r="M9" s="92"/>
      <c r="N9" s="94"/>
      <c r="O9" s="61"/>
      <c r="P9" s="61"/>
      <c r="Q9" s="97"/>
    </row>
    <row r="10" spans="1:17" x14ac:dyDescent="0.25">
      <c r="A10" s="67"/>
      <c r="B10" s="70"/>
      <c r="C10" s="70"/>
      <c r="D10" s="70"/>
      <c r="E10" s="70"/>
      <c r="F10" s="70"/>
      <c r="G10" s="70"/>
      <c r="H10" s="70"/>
      <c r="I10" s="68"/>
      <c r="J10" s="69"/>
      <c r="K10" s="98"/>
      <c r="L10" s="98"/>
      <c r="M10" s="98"/>
      <c r="N10" s="98"/>
      <c r="O10" s="98"/>
      <c r="P10" s="98"/>
      <c r="Q10" s="99"/>
    </row>
    <row r="11" spans="1:17" ht="18.75" x14ac:dyDescent="0.3">
      <c r="A11" s="160" t="s">
        <v>750</v>
      </c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2"/>
    </row>
    <row r="12" spans="1:17" ht="18.75" x14ac:dyDescent="0.3">
      <c r="A12" s="163"/>
      <c r="B12" s="164"/>
      <c r="C12" s="164"/>
      <c r="D12" s="164"/>
      <c r="E12" s="164"/>
      <c r="F12" s="164"/>
      <c r="G12" s="165"/>
      <c r="H12" s="48" t="s">
        <v>705</v>
      </c>
      <c r="I12" s="57"/>
      <c r="J12" s="166"/>
      <c r="K12" s="164"/>
      <c r="L12" s="164"/>
      <c r="M12" s="164"/>
      <c r="N12" s="164"/>
      <c r="O12" s="164"/>
      <c r="P12" s="165"/>
      <c r="Q12" s="52" t="s">
        <v>705</v>
      </c>
    </row>
    <row r="13" spans="1:17" ht="15.75" x14ac:dyDescent="0.25">
      <c r="A13" s="145" t="s">
        <v>707</v>
      </c>
      <c r="B13" s="146"/>
      <c r="C13" s="147" t="str">
        <f ca="1">INDEX('Tabelas Dinâmicas'!$A$4:$B$5000, MATCH(H13,'Tabelas Dinâmicas'!$B$4:$B$5000,0),1)</f>
        <v>Romance</v>
      </c>
      <c r="D13" s="148"/>
      <c r="E13" s="148"/>
      <c r="F13" s="148"/>
      <c r="G13" s="148"/>
      <c r="H13" s="62">
        <f ca="1">LARGE(OFFSET('Tabelas Dinâmicas'!$B$4,0,0,COUNTA(bd_Assunto),1),1)</f>
        <v>28</v>
      </c>
      <c r="I13" s="57"/>
      <c r="J13" s="143" t="s">
        <v>708</v>
      </c>
      <c r="K13" s="144"/>
      <c r="L13" s="139" t="str">
        <f ca="1">INDEX('Tabelas Dinâmicas'!$A$4:$B$5000, MATCH(Q13,'Tabelas Dinâmicas'!$B$4:$B$5000,1),1)</f>
        <v>Legislação</v>
      </c>
      <c r="M13" s="140"/>
      <c r="N13" s="140"/>
      <c r="O13" s="140"/>
      <c r="P13" s="141"/>
      <c r="Q13" s="63">
        <f ca="1">SMALL(OFFSET('Tabelas Dinâmicas'!$B$4,0,0,COUNTA(bd_Autor),1),1)</f>
        <v>1</v>
      </c>
    </row>
    <row r="14" spans="1:17" ht="15.75" x14ac:dyDescent="0.25">
      <c r="A14" s="145" t="s">
        <v>710</v>
      </c>
      <c r="B14" s="146"/>
      <c r="C14" s="147" t="str">
        <f ca="1">INDEX('Tabelas Dinâmicas'!$D$4:$E$5000, MATCH(H14,'Tabelas Dinâmicas'!$E$4:$E$5000,0),1)</f>
        <v>Selma El-Kathib e Luiz Cesar Pinto Ribeiro (coord.)</v>
      </c>
      <c r="D14" s="148"/>
      <c r="E14" s="148"/>
      <c r="F14" s="148"/>
      <c r="G14" s="148"/>
      <c r="H14" s="62">
        <f ca="1">LARGE(OFFSET('Tabelas Dinâmicas'!$E$4,0,0,COUNTA(bd_Autor),1),1)</f>
        <v>4</v>
      </c>
      <c r="I14" s="57"/>
      <c r="J14" s="143" t="s">
        <v>711</v>
      </c>
      <c r="K14" s="144"/>
      <c r="L14" s="139" t="str">
        <f ca="1">INDEX('Tabelas Dinâmicas'!$D$4:$E$5000, MATCH(Q14,'Tabelas Dinâmicas'!$E$4:$E$5001,1),1)</f>
        <v>Jesus Barbosa de Souza ; Samira Youssef Campedelli</v>
      </c>
      <c r="M14" s="140"/>
      <c r="N14" s="140"/>
      <c r="O14" s="140"/>
      <c r="P14" s="141"/>
      <c r="Q14" s="63">
        <f ca="1">SMALL(OFFSET('Tabelas Dinâmicas'!$E$4,0,0,COUNTA(bd_Autor),1),1)</f>
        <v>1</v>
      </c>
    </row>
    <row r="15" spans="1:17" ht="15.75" x14ac:dyDescent="0.25">
      <c r="A15" s="145" t="s">
        <v>713</v>
      </c>
      <c r="B15" s="146"/>
      <c r="C15" s="120" t="str">
        <f ca="1">INDEX('Tabelas Dinâmicas'!$J$4:$K$5000, MATCH(H15,'Tabelas Dinâmicas'!$K$4:$K$5000,0),1)</f>
        <v>Português</v>
      </c>
      <c r="D15" s="121"/>
      <c r="E15" s="121"/>
      <c r="F15" s="121"/>
      <c r="G15" s="142"/>
      <c r="H15" s="62">
        <f ca="1">LARGE(OFFSET('Tabelas Dinâmicas'!$K$4,0,0,COUNTA(bd_Idioma),1),1)</f>
        <v>132</v>
      </c>
      <c r="I15" s="57"/>
      <c r="J15" s="143" t="s">
        <v>714</v>
      </c>
      <c r="K15" s="144"/>
      <c r="L15" s="139" t="str">
        <f ca="1">INDEX('Tabelas Dinâmicas'!$J$4:$K$5000, MATCH(Q15,'Tabelas Dinâmicas'!$K$4:$K$4000,1),1)</f>
        <v>Português ; Inglês ; Espanhol</v>
      </c>
      <c r="M15" s="140"/>
      <c r="N15" s="140"/>
      <c r="O15" s="140"/>
      <c r="P15" s="141"/>
      <c r="Q15" s="63">
        <f ca="1">SMALL(OFFSET('Tabelas Dinâmicas'!$K$4,0,0,COUNTA(bd_Idioma),1),1)</f>
        <v>1</v>
      </c>
    </row>
    <row r="16" spans="1:17" ht="15.75" x14ac:dyDescent="0.25">
      <c r="A16" s="145" t="s">
        <v>715</v>
      </c>
      <c r="B16" s="146"/>
      <c r="C16" s="147" t="str">
        <f ca="1">INDEX('Tabelas Dinâmicas'!$G$4:$H$5000, MATCH(H16,'Tabelas Dinâmicas'!$H$4:$H$5000,0),1)</f>
        <v>L&amp;PM</v>
      </c>
      <c r="D16" s="148"/>
      <c r="E16" s="148"/>
      <c r="F16" s="148"/>
      <c r="G16" s="148"/>
      <c r="H16" s="62">
        <f ca="1">LARGE(OFFSET('Tabelas Dinâmicas'!$H$4,0,0,COUNTA(bd_Editora),1),1)</f>
        <v>12</v>
      </c>
      <c r="I16" s="57"/>
      <c r="J16" s="143" t="s">
        <v>716</v>
      </c>
      <c r="K16" s="144"/>
      <c r="L16" s="149" t="str">
        <f ca="1">INDEX('Tabelas Dinâmicas'!$G$4:$H$5000, MATCH(Q16,'Tabelas Dinâmicas'!$H$4:$H$5000,1),1)</f>
        <v>Da Boa Prosa</v>
      </c>
      <c r="M16" s="150"/>
      <c r="N16" s="150"/>
      <c r="O16" s="150"/>
      <c r="P16" s="151"/>
      <c r="Q16" s="63">
        <f ca="1">SMALL(OFFSET('Tabelas Dinâmicas'!$H$4,0,0,COUNTA(bd_Editora),1),1)</f>
        <v>1</v>
      </c>
    </row>
    <row r="17" spans="1:17" ht="15.75" x14ac:dyDescent="0.25">
      <c r="A17" s="158" t="s">
        <v>717</v>
      </c>
      <c r="B17" s="159"/>
      <c r="C17" s="147">
        <f ca="1">INDEX('Tabelas Dinâmicas'!$P$4:$Q$5000, MATCH(H17,'Tabelas Dinâmicas'!$Q$4:$Q$5000,0),1)</f>
        <v>2012</v>
      </c>
      <c r="D17" s="148"/>
      <c r="E17" s="148"/>
      <c r="F17" s="148"/>
      <c r="G17" s="148"/>
      <c r="H17" s="62">
        <f ca="1">LARGE(OFFSET('Tabelas Dinâmicas'!$Q$4,0,0,COUNTA(bd_Ano),1),1)</f>
        <v>14</v>
      </c>
      <c r="I17" s="57"/>
      <c r="J17" s="143" t="s">
        <v>718</v>
      </c>
      <c r="K17" s="144"/>
      <c r="L17" s="155" t="e">
        <f ca="1">INDEX('Tabelas Dinâmicas'!$P$4:$Q$5000, MATCH(Q17,'Tabelas Dinâmicas'!$Q$4:$Q$5000,1),1)</f>
        <v>#N/A</v>
      </c>
      <c r="M17" s="156"/>
      <c r="N17" s="156"/>
      <c r="O17" s="156"/>
      <c r="P17" s="157"/>
      <c r="Q17" s="63">
        <f ca="1">SMALL(OFFSET('Tabelas Dinâmicas'!$Q$4,0,0,COUNTA(bd_Ano),1),1)</f>
        <v>1</v>
      </c>
    </row>
    <row r="18" spans="1:17" ht="15.75" x14ac:dyDescent="0.25">
      <c r="A18" s="137" t="s">
        <v>719</v>
      </c>
      <c r="B18" s="138"/>
      <c r="C18" s="120" t="str">
        <f ca="1">INDEX('Tabelas Dinâmicas'!$M$4:$N$5000, MATCH(H18,'Tabelas Dinâmicas'!$N$4:$N$5000,0),1)</f>
        <v>Brasil</v>
      </c>
      <c r="D18" s="121"/>
      <c r="E18" s="121"/>
      <c r="F18" s="121"/>
      <c r="G18" s="121"/>
      <c r="H18" s="62">
        <f ca="1">LARGE(OFFSET('Tabelas Dinâmicas'!$N$4,0,0,COUNTA(bd_País),1),1)</f>
        <v>59</v>
      </c>
      <c r="I18" s="57"/>
      <c r="J18" s="122" t="s">
        <v>720</v>
      </c>
      <c r="K18" s="123"/>
      <c r="L18" s="124" t="str">
        <f ca="1">INDEX('Tabelas Dinâmicas'!$M$4:$N$5000, MATCH(Q18,'Tabelas Dinâmicas'!$N$4:$N$5000,1),1)</f>
        <v>Austrália</v>
      </c>
      <c r="M18" s="125"/>
      <c r="N18" s="125"/>
      <c r="O18" s="125"/>
      <c r="P18" s="126"/>
      <c r="Q18" s="63">
        <f ca="1">SMALL(OFFSET('Tabelas Dinâmicas'!$N$4,0,0,COUNTA(bd_País),1),1)</f>
        <v>1</v>
      </c>
    </row>
    <row r="19" spans="1:17" ht="15.75" x14ac:dyDescent="0.25">
      <c r="A19" s="127" t="s">
        <v>721</v>
      </c>
      <c r="B19" s="128"/>
      <c r="C19" s="129" t="str">
        <f ca="1">IF('Tabelas Dinâmicas'!S4= "n / a", INDEX('Tabelas Dinâmicas'!$S$4:$T$5000, MATCH(H19,'Tabelas Dinâmicas'!$T$4:$T$5000,0),1), 'Tabelas Dinâmicas'!S5)</f>
        <v>L&amp;PM Pocket</v>
      </c>
      <c r="D19" s="130"/>
      <c r="E19" s="130"/>
      <c r="F19" s="130"/>
      <c r="G19" s="131"/>
      <c r="H19" s="64">
        <f ca="1">IF('Tabelas Dinâmicas'!$S$4= "n / a", LARGE(OFFSET('Tabelas Dinâmicas'!$T$4,0,0,COUNTA(bd_Coleção),1),2),LARGE(OFFSET('Tabelas Dinâmicas'!$T$4,0,0,COUNTA(bd_Coleção),1),1))</f>
        <v>13</v>
      </c>
      <c r="I19" s="65"/>
      <c r="J19" s="132" t="s">
        <v>722</v>
      </c>
      <c r="K19" s="133"/>
      <c r="L19" s="134" t="str">
        <f ca="1">INDEX('Tabelas Dinâmicas'!$S$4:$T$5000, MATCH(Q19,'Tabelas Dinâmicas'!$T$4:$T$5000,1),1)</f>
        <v>Lecture Facile</v>
      </c>
      <c r="M19" s="135"/>
      <c r="N19" s="135"/>
      <c r="O19" s="135"/>
      <c r="P19" s="136"/>
      <c r="Q19" s="66">
        <f ca="1">SMALL(OFFSET('Tabelas Dinâmicas'!$T$4,0,0,COUNTA(bd_Coleção),1),1)</f>
        <v>1</v>
      </c>
    </row>
  </sheetData>
  <mergeCells count="39">
    <mergeCell ref="A2:Q2"/>
    <mergeCell ref="J14:K14"/>
    <mergeCell ref="L14:P14"/>
    <mergeCell ref="J17:K17"/>
    <mergeCell ref="L17:P17"/>
    <mergeCell ref="A17:B17"/>
    <mergeCell ref="C17:G17"/>
    <mergeCell ref="A14:B14"/>
    <mergeCell ref="C14:G14"/>
    <mergeCell ref="A15:B15"/>
    <mergeCell ref="A11:Q11"/>
    <mergeCell ref="A12:G12"/>
    <mergeCell ref="J12:P12"/>
    <mergeCell ref="A13:B13"/>
    <mergeCell ref="C13:G13"/>
    <mergeCell ref="J13:K13"/>
    <mergeCell ref="L13:P13"/>
    <mergeCell ref="C15:G15"/>
    <mergeCell ref="J15:K15"/>
    <mergeCell ref="L15:P15"/>
    <mergeCell ref="A16:B16"/>
    <mergeCell ref="C16:G16"/>
    <mergeCell ref="J16:K16"/>
    <mergeCell ref="L16:P16"/>
    <mergeCell ref="C18:G18"/>
    <mergeCell ref="J18:K18"/>
    <mergeCell ref="L18:P18"/>
    <mergeCell ref="A19:B19"/>
    <mergeCell ref="C19:G19"/>
    <mergeCell ref="J19:K19"/>
    <mergeCell ref="L19:P19"/>
    <mergeCell ref="A18:B18"/>
    <mergeCell ref="K6:Q6"/>
    <mergeCell ref="H4:I5"/>
    <mergeCell ref="B7:C8"/>
    <mergeCell ref="E7:F8"/>
    <mergeCell ref="H7:I8"/>
    <mergeCell ref="B4:C5"/>
    <mergeCell ref="E4:F5"/>
  </mergeCells>
  <dataValidations disablePrompts="1" count="1">
    <dataValidation showInputMessage="1" showErrorMessage="1" sqref="G8 C6 D8 D5 G5" xr:uid="{5973FD8E-79FE-4A1A-99EB-C20E6D699CE1}"/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zoomScale="90" zoomScaleNormal="90" workbookViewId="0">
      <pane ySplit="1" topLeftCell="A2" activePane="bottomLeft" state="frozen"/>
      <selection pane="bottomLeft" activeCell="O1" sqref="O1:Q1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07" t="s">
        <v>698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9"/>
      <c r="N1" s="16"/>
      <c r="O1" s="179" t="s">
        <v>747</v>
      </c>
      <c r="P1" s="179"/>
      <c r="Q1" s="179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89"/>
      <c r="P2" s="89"/>
      <c r="Q2" s="89"/>
      <c r="R2" s="77"/>
      <c r="S2" s="77"/>
      <c r="T2" s="77"/>
      <c r="U2" s="77"/>
      <c r="V2" s="41"/>
      <c r="W2" s="41"/>
      <c r="X2" s="77"/>
      <c r="Y2" s="77"/>
      <c r="Z2" s="77"/>
      <c r="AA2" s="77"/>
      <c r="AB2" s="77"/>
      <c r="AC2" s="77"/>
      <c r="AD2" s="77"/>
      <c r="AE2" s="77"/>
    </row>
    <row r="3" spans="1:31" ht="18.75" x14ac:dyDescent="0.3">
      <c r="A3" s="217" t="s">
        <v>699</v>
      </c>
      <c r="B3" s="218"/>
      <c r="C3" s="218"/>
      <c r="D3" s="218"/>
      <c r="E3" s="218"/>
      <c r="F3" s="218"/>
      <c r="G3" s="219"/>
      <c r="H3" s="6"/>
      <c r="I3" s="6"/>
      <c r="J3" s="18"/>
      <c r="M3" s="3"/>
      <c r="O3" s="90"/>
      <c r="P3" s="90"/>
      <c r="Q3" s="90"/>
      <c r="R3" s="85"/>
      <c r="S3" s="85"/>
      <c r="T3" s="85"/>
      <c r="U3" s="85"/>
      <c r="V3" s="41"/>
      <c r="W3" s="41"/>
      <c r="X3" s="41"/>
      <c r="Y3" s="41"/>
      <c r="Z3" s="41"/>
      <c r="AA3" s="41"/>
      <c r="AB3" s="77"/>
      <c r="AC3" s="77"/>
      <c r="AD3" s="77"/>
      <c r="AE3" s="77"/>
    </row>
    <row r="4" spans="1:31" ht="19.5" x14ac:dyDescent="0.25">
      <c r="A4" s="27" t="s">
        <v>700</v>
      </c>
      <c r="B4" s="220" t="s">
        <v>346</v>
      </c>
      <c r="C4" s="221"/>
      <c r="D4" s="221"/>
      <c r="E4" s="221"/>
      <c r="F4" s="221"/>
      <c r="G4" s="222"/>
      <c r="H4" s="23"/>
      <c r="I4" s="167" t="s">
        <v>749</v>
      </c>
      <c r="J4" s="168"/>
      <c r="K4" s="168"/>
      <c r="L4" s="169"/>
      <c r="M4" s="31"/>
      <c r="N4" s="30"/>
      <c r="O4" s="82"/>
      <c r="P4" s="82"/>
      <c r="Q4" s="83"/>
      <c r="R4" s="83"/>
      <c r="S4" s="83"/>
      <c r="T4" s="83"/>
      <c r="U4" s="83"/>
      <c r="V4" s="42"/>
      <c r="W4" s="43"/>
      <c r="X4" s="78"/>
      <c r="Y4" s="44"/>
      <c r="Z4" s="44"/>
      <c r="AA4" s="44"/>
      <c r="AB4" s="77"/>
      <c r="AC4" s="77"/>
      <c r="AD4" s="77"/>
      <c r="AE4" s="77"/>
    </row>
    <row r="5" spans="1:31" ht="16.5" thickBot="1" x14ac:dyDescent="0.3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82"/>
      <c r="P5" s="82"/>
      <c r="Q5" s="83"/>
      <c r="R5" s="83"/>
      <c r="S5" s="83"/>
      <c r="T5" s="83"/>
      <c r="U5" s="83"/>
      <c r="V5" s="42"/>
      <c r="W5" s="43"/>
      <c r="X5" s="78"/>
      <c r="Y5" s="44"/>
      <c r="Z5" s="44"/>
      <c r="AA5" s="44"/>
      <c r="AB5" s="77"/>
      <c r="AC5" s="77"/>
      <c r="AD5" s="77"/>
      <c r="AE5" s="77"/>
    </row>
    <row r="6" spans="1:31" ht="16.5" thickBot="1" x14ac:dyDescent="0.3">
      <c r="A6" s="36" t="s">
        <v>1</v>
      </c>
      <c r="B6" s="229" t="str">
        <f>VLOOKUP($B$4,'Base de Dados'!A:M,2,FALSE)</f>
        <v>Contos</v>
      </c>
      <c r="C6" s="230"/>
      <c r="D6" s="230"/>
      <c r="E6" s="230"/>
      <c r="F6" s="230"/>
      <c r="G6" s="231"/>
      <c r="H6" s="28"/>
      <c r="I6" s="28"/>
      <c r="J6" s="170" t="s">
        <v>701</v>
      </c>
      <c r="K6" s="171"/>
      <c r="L6" s="172"/>
      <c r="M6" s="31"/>
      <c r="N6" s="30"/>
      <c r="O6" s="82"/>
      <c r="P6" s="82"/>
      <c r="Q6" s="83"/>
      <c r="R6" s="83"/>
      <c r="S6" s="83"/>
      <c r="T6" s="83"/>
      <c r="U6" s="83"/>
      <c r="V6" s="42"/>
      <c r="W6" s="43"/>
      <c r="X6" s="78"/>
      <c r="Y6" s="44"/>
      <c r="Z6" s="44"/>
      <c r="AA6" s="44"/>
      <c r="AB6" s="77"/>
      <c r="AC6" s="77"/>
      <c r="AD6" s="77"/>
      <c r="AE6" s="77"/>
    </row>
    <row r="7" spans="1:31" ht="16.5" thickBot="1" x14ac:dyDescent="0.3">
      <c r="A7" s="36" t="s">
        <v>2</v>
      </c>
      <c r="B7" s="223" t="str">
        <f>VLOOKUP($B$4,'Base de Dados'!A:M,3,FALSE)</f>
        <v>Clarice Lispector ; Benjamin Moser (org)</v>
      </c>
      <c r="C7" s="224"/>
      <c r="D7" s="224"/>
      <c r="E7" s="224"/>
      <c r="F7" s="224"/>
      <c r="G7" s="225"/>
      <c r="H7" s="28"/>
      <c r="I7" s="28"/>
      <c r="J7" s="173" t="s">
        <v>702</v>
      </c>
      <c r="K7" s="174"/>
      <c r="L7" s="175"/>
      <c r="M7" s="31"/>
      <c r="N7" s="30"/>
      <c r="O7" s="45"/>
      <c r="P7" s="45"/>
      <c r="Q7" s="46"/>
      <c r="R7" s="46"/>
      <c r="S7" s="46"/>
      <c r="T7" s="46"/>
      <c r="U7" s="46"/>
      <c r="V7" s="42"/>
      <c r="W7" s="43"/>
      <c r="X7" s="78"/>
      <c r="Y7" s="44"/>
      <c r="Z7" s="47"/>
      <c r="AA7" s="44"/>
      <c r="AB7" s="77"/>
      <c r="AC7" s="77"/>
      <c r="AD7" s="77"/>
      <c r="AE7" s="77"/>
    </row>
    <row r="8" spans="1:31" ht="19.5" thickBot="1" x14ac:dyDescent="0.35">
      <c r="A8" s="36" t="s">
        <v>3</v>
      </c>
      <c r="B8" s="223" t="str">
        <f>VLOOKUP($B$4,'Base de Dados'!A:M,4,FALSE)</f>
        <v>1a</v>
      </c>
      <c r="C8" s="224"/>
      <c r="D8" s="224"/>
      <c r="E8" s="224"/>
      <c r="F8" s="224"/>
      <c r="G8" s="225"/>
      <c r="H8" s="28"/>
      <c r="I8" s="28"/>
      <c r="J8" s="176" t="s">
        <v>703</v>
      </c>
      <c r="K8" s="177"/>
      <c r="L8" s="178"/>
      <c r="M8" s="31"/>
      <c r="N8" s="30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</row>
    <row r="9" spans="1:31" ht="18.75" x14ac:dyDescent="0.3">
      <c r="A9" s="36" t="s">
        <v>4</v>
      </c>
      <c r="B9" s="223" t="str">
        <f>VLOOKUP($B$4,'Base de Dados'!A:M,5,FALSE)</f>
        <v>n / a</v>
      </c>
      <c r="C9" s="224"/>
      <c r="D9" s="224"/>
      <c r="E9" s="224"/>
      <c r="F9" s="224"/>
      <c r="G9" s="225"/>
      <c r="H9" s="28"/>
      <c r="I9" s="28"/>
      <c r="J9" s="176" t="s">
        <v>704</v>
      </c>
      <c r="K9" s="177"/>
      <c r="L9" s="178"/>
      <c r="M9" s="31"/>
      <c r="N9" s="30"/>
      <c r="O9" s="85"/>
      <c r="P9" s="85"/>
      <c r="Q9" s="85"/>
      <c r="R9" s="85"/>
      <c r="S9" s="85"/>
      <c r="T9" s="85"/>
      <c r="U9" s="85"/>
      <c r="V9" s="79"/>
      <c r="W9" s="43"/>
      <c r="X9" s="85"/>
      <c r="Y9" s="85"/>
      <c r="Z9" s="85"/>
      <c r="AA9" s="85"/>
      <c r="AB9" s="85"/>
      <c r="AC9" s="85"/>
      <c r="AD9" s="85"/>
      <c r="AE9" s="79"/>
    </row>
    <row r="10" spans="1:31" ht="17.25" customHeight="1" x14ac:dyDescent="0.25">
      <c r="A10" s="36" t="s">
        <v>5</v>
      </c>
      <c r="B10" s="223" t="str">
        <f>VLOOKUP($B$4,'Base de Dados'!A:M,6,FALSE)</f>
        <v>Rocco</v>
      </c>
      <c r="C10" s="224"/>
      <c r="D10" s="224"/>
      <c r="E10" s="224"/>
      <c r="F10" s="224"/>
      <c r="G10" s="225"/>
      <c r="H10" s="28"/>
      <c r="I10" s="28"/>
      <c r="J10" s="176" t="s">
        <v>706</v>
      </c>
      <c r="K10" s="177"/>
      <c r="L10" s="178"/>
      <c r="M10" s="31"/>
      <c r="N10" s="30"/>
      <c r="O10" s="50"/>
      <c r="P10" s="50"/>
      <c r="Q10" s="83"/>
      <c r="R10" s="83"/>
      <c r="S10" s="83"/>
      <c r="T10" s="83"/>
      <c r="U10" s="83"/>
      <c r="V10" s="46"/>
      <c r="W10" s="43"/>
      <c r="X10" s="86"/>
      <c r="Y10" s="86"/>
      <c r="Z10" s="88"/>
      <c r="AA10" s="88"/>
      <c r="AB10" s="88"/>
      <c r="AC10" s="88"/>
      <c r="AD10" s="88"/>
      <c r="AE10" s="46"/>
    </row>
    <row r="11" spans="1:31" ht="17.25" customHeight="1" x14ac:dyDescent="0.25">
      <c r="A11" s="36" t="s">
        <v>6</v>
      </c>
      <c r="B11" s="223">
        <f>VLOOKUP($B$4,'Base de Dados'!A:M,7,FALSE)</f>
        <v>2016</v>
      </c>
      <c r="C11" s="224"/>
      <c r="D11" s="224"/>
      <c r="E11" s="224"/>
      <c r="F11" s="224"/>
      <c r="G11" s="225"/>
      <c r="H11" s="28"/>
      <c r="I11" s="28"/>
      <c r="J11" s="176" t="s">
        <v>709</v>
      </c>
      <c r="K11" s="177"/>
      <c r="L11" s="178"/>
      <c r="M11" s="31"/>
      <c r="N11" s="30"/>
      <c r="O11" s="50"/>
      <c r="P11" s="50"/>
      <c r="Q11" s="83"/>
      <c r="R11" s="83"/>
      <c r="S11" s="83"/>
      <c r="T11" s="83"/>
      <c r="U11" s="83"/>
      <c r="V11" s="46"/>
      <c r="W11" s="43"/>
      <c r="X11" s="86"/>
      <c r="Y11" s="86"/>
      <c r="Z11" s="88"/>
      <c r="AA11" s="88"/>
      <c r="AB11" s="88"/>
      <c r="AC11" s="88"/>
      <c r="AD11" s="88"/>
      <c r="AE11" s="46"/>
    </row>
    <row r="12" spans="1:31" ht="15.75" x14ac:dyDescent="0.25">
      <c r="A12" s="36" t="s">
        <v>7</v>
      </c>
      <c r="B12" s="223" t="str">
        <f>VLOOKUP($B$4,'Base de Dados'!A:M,8,FALSE)</f>
        <v>n / a</v>
      </c>
      <c r="C12" s="224"/>
      <c r="D12" s="224"/>
      <c r="E12" s="224"/>
      <c r="F12" s="224"/>
      <c r="G12" s="225"/>
      <c r="H12" s="28"/>
      <c r="I12" s="28"/>
      <c r="J12" s="182" t="s">
        <v>712</v>
      </c>
      <c r="K12" s="183"/>
      <c r="L12" s="184"/>
      <c r="M12" s="31"/>
      <c r="N12" s="30"/>
      <c r="O12" s="50"/>
      <c r="P12" s="50"/>
      <c r="Q12" s="83"/>
      <c r="R12" s="83"/>
      <c r="S12" s="83"/>
      <c r="T12" s="83"/>
      <c r="U12" s="83"/>
      <c r="V12" s="46"/>
      <c r="W12" s="43"/>
      <c r="X12" s="86"/>
      <c r="Y12" s="86"/>
      <c r="Z12" s="88"/>
      <c r="AA12" s="88"/>
      <c r="AB12" s="88"/>
      <c r="AC12" s="88"/>
      <c r="AD12" s="88"/>
      <c r="AE12" s="46"/>
    </row>
    <row r="13" spans="1:31" ht="15.75" x14ac:dyDescent="0.25">
      <c r="A13" s="36" t="s">
        <v>8</v>
      </c>
      <c r="B13" s="226" t="str">
        <f>VLOOKUP($B$4,'Base de Dados'!A:M,9,FALSE)</f>
        <v>Português</v>
      </c>
      <c r="C13" s="227"/>
      <c r="D13" s="227"/>
      <c r="E13" s="227"/>
      <c r="F13" s="227"/>
      <c r="G13" s="228"/>
      <c r="H13" s="28"/>
      <c r="I13" s="28"/>
      <c r="J13" s="29"/>
      <c r="K13" s="29"/>
      <c r="L13" s="29"/>
      <c r="M13" s="31"/>
      <c r="N13" s="30"/>
      <c r="O13" s="50"/>
      <c r="P13" s="50"/>
      <c r="Q13" s="83"/>
      <c r="R13" s="83"/>
      <c r="S13" s="83"/>
      <c r="T13" s="83"/>
      <c r="U13" s="83"/>
      <c r="V13" s="46"/>
      <c r="W13" s="43"/>
      <c r="X13" s="86"/>
      <c r="Y13" s="86"/>
      <c r="Z13" s="47"/>
      <c r="AA13" s="47"/>
      <c r="AB13" s="47"/>
      <c r="AC13" s="47"/>
      <c r="AD13" s="47"/>
      <c r="AE13" s="80"/>
    </row>
    <row r="14" spans="1:31" ht="15.75" x14ac:dyDescent="0.25">
      <c r="A14" s="36" t="s">
        <v>9</v>
      </c>
      <c r="B14" s="223">
        <f>VLOOKUP($B$4,'Base de Dados'!A:M,10,FALSE)</f>
        <v>646</v>
      </c>
      <c r="C14" s="224"/>
      <c r="D14" s="224"/>
      <c r="E14" s="224"/>
      <c r="F14" s="224"/>
      <c r="G14" s="225"/>
      <c r="H14" s="28"/>
      <c r="I14" s="28"/>
      <c r="J14" s="29"/>
      <c r="K14" s="29"/>
      <c r="L14" s="29"/>
      <c r="M14" s="31"/>
      <c r="N14" s="30"/>
      <c r="O14" s="82"/>
      <c r="P14" s="82"/>
      <c r="Q14" s="83"/>
      <c r="R14" s="83"/>
      <c r="S14" s="83"/>
      <c r="T14" s="83"/>
      <c r="U14" s="83"/>
      <c r="V14" s="46"/>
      <c r="W14" s="43"/>
      <c r="X14" s="86"/>
      <c r="Y14" s="86"/>
      <c r="Z14" s="87"/>
      <c r="AA14" s="87"/>
      <c r="AB14" s="87"/>
      <c r="AC14" s="87"/>
      <c r="AD14" s="87"/>
      <c r="AE14" s="80"/>
    </row>
    <row r="15" spans="1:31" ht="15.75" x14ac:dyDescent="0.25">
      <c r="A15" s="36" t="s">
        <v>10</v>
      </c>
      <c r="B15" s="223" t="str">
        <f>VLOOKUP($B$4,'Base de Dados'!A:M,11,FALSE)</f>
        <v>869.93</v>
      </c>
      <c r="C15" s="224"/>
      <c r="D15" s="224"/>
      <c r="E15" s="224"/>
      <c r="F15" s="224"/>
      <c r="G15" s="225"/>
      <c r="H15" s="28"/>
      <c r="I15" s="28"/>
      <c r="J15" s="29"/>
      <c r="K15" s="29"/>
      <c r="L15" s="29"/>
      <c r="M15" s="31"/>
      <c r="N15" s="30"/>
      <c r="O15" s="50"/>
      <c r="P15" s="50"/>
      <c r="Q15" s="83"/>
      <c r="R15" s="83"/>
      <c r="S15" s="83"/>
      <c r="T15" s="83"/>
      <c r="U15" s="83"/>
      <c r="V15" s="46"/>
      <c r="W15" s="43"/>
      <c r="X15" s="86"/>
      <c r="Y15" s="86"/>
      <c r="Z15" s="87"/>
      <c r="AA15" s="87"/>
      <c r="AB15" s="87"/>
      <c r="AC15" s="87"/>
      <c r="AD15" s="87"/>
      <c r="AE15" s="80"/>
    </row>
    <row r="16" spans="1:31" ht="15.75" x14ac:dyDescent="0.25">
      <c r="A16" s="36" t="s">
        <v>11</v>
      </c>
      <c r="B16" s="223" t="str">
        <f>VLOOKUP($B$4,'Base de Dados'!A:M,12,FALSE)</f>
        <v>L771t</v>
      </c>
      <c r="C16" s="224"/>
      <c r="D16" s="224"/>
      <c r="E16" s="224"/>
      <c r="F16" s="224"/>
      <c r="G16" s="225"/>
      <c r="H16" s="28"/>
      <c r="I16" s="28"/>
      <c r="J16" s="29"/>
      <c r="K16" s="29"/>
      <c r="L16" s="29"/>
      <c r="M16" s="31"/>
      <c r="N16" s="30"/>
      <c r="O16" s="82"/>
      <c r="P16" s="82"/>
      <c r="Q16" s="83"/>
      <c r="R16" s="83"/>
      <c r="S16" s="83"/>
      <c r="T16" s="83"/>
      <c r="U16" s="83"/>
      <c r="V16" s="49"/>
      <c r="W16" s="43"/>
      <c r="X16" s="86"/>
      <c r="Y16" s="86"/>
      <c r="Z16" s="87"/>
      <c r="AA16" s="87"/>
      <c r="AB16" s="87"/>
      <c r="AC16" s="87"/>
      <c r="AD16" s="87"/>
      <c r="AE16" s="80"/>
    </row>
    <row r="17" spans="1:31" ht="15.75" x14ac:dyDescent="0.25">
      <c r="A17" s="37" t="s">
        <v>723</v>
      </c>
      <c r="B17" s="223" t="str">
        <f>VLOOKUP($B$4,'Base de Dados'!A:M,13,FALSE)</f>
        <v>Brasil</v>
      </c>
      <c r="C17" s="224"/>
      <c r="D17" s="224"/>
      <c r="E17" s="224"/>
      <c r="F17" s="224"/>
      <c r="G17" s="225"/>
      <c r="H17" s="28"/>
      <c r="I17" s="28"/>
      <c r="J17" s="29"/>
      <c r="K17" s="29"/>
      <c r="L17" s="29"/>
      <c r="M17" s="31"/>
      <c r="N17" s="30"/>
      <c r="O17" s="50"/>
      <c r="P17" s="43"/>
      <c r="Q17" s="43"/>
      <c r="R17" s="43"/>
      <c r="S17" s="43"/>
      <c r="T17" s="43"/>
      <c r="U17" s="43"/>
      <c r="V17" s="43"/>
      <c r="W17" s="43"/>
      <c r="X17" s="78"/>
      <c r="Y17" s="78"/>
      <c r="Z17" s="78"/>
      <c r="AA17" s="78"/>
      <c r="AB17" s="77"/>
      <c r="AC17" s="77"/>
      <c r="AD17" s="77"/>
      <c r="AE17" s="77"/>
    </row>
    <row r="18" spans="1:31" ht="15.75" x14ac:dyDescent="0.25">
      <c r="A18" s="37" t="s">
        <v>13</v>
      </c>
      <c r="B18" s="223">
        <f>VLOOKUP($B$4,'Base de Dados'!A:N,14,FALSE)</f>
        <v>73</v>
      </c>
      <c r="C18" s="224"/>
      <c r="D18" s="224"/>
      <c r="E18" s="224"/>
      <c r="F18" s="224"/>
      <c r="G18" s="225"/>
      <c r="H18" s="38"/>
      <c r="I18" s="38"/>
      <c r="J18" s="38"/>
      <c r="K18" s="38"/>
      <c r="L18" s="38"/>
      <c r="M18" s="39"/>
      <c r="N18" s="30"/>
      <c r="O18" s="51"/>
      <c r="P18" s="28"/>
      <c r="Q18" s="28"/>
      <c r="R18" s="28"/>
      <c r="S18" s="28"/>
      <c r="T18" s="28"/>
      <c r="U18" s="28"/>
      <c r="V18" s="28"/>
      <c r="W18" s="28"/>
      <c r="X18" s="81"/>
      <c r="Y18" s="81"/>
      <c r="Z18" s="81"/>
      <c r="AA18" s="81"/>
      <c r="AB18" s="15"/>
      <c r="AC18" s="15"/>
      <c r="AD18" s="15"/>
      <c r="AE18" s="15"/>
    </row>
    <row r="19" spans="1:31" x14ac:dyDescent="0.25"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0" spans="1:31" ht="22.5" x14ac:dyDescent="0.45">
      <c r="A20" s="193" t="s">
        <v>724</v>
      </c>
      <c r="B20" s="194"/>
      <c r="C20" s="194"/>
      <c r="D20" s="194"/>
      <c r="E20" s="194"/>
      <c r="F20" s="194"/>
      <c r="G20" s="194"/>
      <c r="H20" s="194"/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4"/>
      <c r="Z20" s="194"/>
      <c r="AA20" s="194"/>
      <c r="AB20" s="194"/>
    </row>
    <row r="22" spans="1:31" ht="18.75" x14ac:dyDescent="0.3">
      <c r="A22" s="190" t="s">
        <v>725</v>
      </c>
      <c r="B22" s="191"/>
      <c r="C22" s="191"/>
      <c r="D22" s="191"/>
      <c r="E22" s="191"/>
      <c r="F22" s="191"/>
      <c r="G22" s="191"/>
      <c r="H22" s="191"/>
      <c r="I22" s="192"/>
      <c r="J22" s="192"/>
      <c r="K22" s="192"/>
      <c r="L22" s="192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</row>
    <row r="23" spans="1:31" ht="21" x14ac:dyDescent="0.35">
      <c r="A23" s="24" t="s">
        <v>726</v>
      </c>
      <c r="B23" s="211" t="s">
        <v>126</v>
      </c>
      <c r="C23" s="212"/>
      <c r="D23" s="212"/>
      <c r="E23" s="212"/>
      <c r="F23" s="212"/>
      <c r="G23" s="213"/>
      <c r="H23" s="23"/>
      <c r="I23" s="167" t="s">
        <v>727</v>
      </c>
      <c r="J23" s="168"/>
      <c r="K23" s="168"/>
      <c r="L23" s="169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188" t="s">
        <v>728</v>
      </c>
      <c r="B25" s="189"/>
      <c r="C25" s="189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  <c r="AA25" s="189"/>
      <c r="AB25" s="189"/>
    </row>
    <row r="26" spans="1:31" x14ac:dyDescent="0.25">
      <c r="A26" s="204" t="str" cm="1">
        <f t="array" ref="A26">IFERROR(INDEX('Base de Dados'!$A$3:$B$4991,SMALL(IF('Base de Dados'!$B$3:$B$4991=$B$23,ROW('Base de Dados'!$B$3:$B$4991)-2),ROW(A1)),1),"-")</f>
        <v>Os Despossuídos</v>
      </c>
      <c r="B26" s="204"/>
      <c r="C26" s="204"/>
      <c r="D26" s="204"/>
      <c r="E26" s="204"/>
      <c r="F26" s="204"/>
      <c r="G26" s="205"/>
      <c r="H26" s="210" t="str" cm="1">
        <f t="array" ref="H26">IFERROR(INDEX('Base de Dados'!$A$3:$B$4991,SMALL(IF('Base de Dados'!$B$3:$B$4991=$B$23,ROW('Base de Dados'!$B$3:$B$4991)-2),ROW(A21)),1),"-")</f>
        <v>-</v>
      </c>
      <c r="I26" s="204"/>
      <c r="J26" s="204"/>
      <c r="K26" s="204"/>
      <c r="L26" s="204"/>
      <c r="M26" s="204"/>
      <c r="N26" s="205"/>
      <c r="O26" s="204" t="str" cm="1">
        <f t="array" ref="O26">IFERROR(INDEX('Base de Dados'!$A$3:$B$4991,SMALL(IF('Base de Dados'!$B$3:$B$4991=$B$23,ROW('Base de Dados'!$B$3:$B$4991)-2),ROW(A41)),1),"-")</f>
        <v>-</v>
      </c>
      <c r="P26" s="204"/>
      <c r="Q26" s="204"/>
      <c r="R26" s="204"/>
      <c r="S26" s="204"/>
      <c r="T26" s="204"/>
      <c r="U26" s="205"/>
      <c r="V26" s="185" t="str" cm="1">
        <f t="array" ref="V26">IFERROR(INDEX('Base de Dados'!$A$3:$B$4991,SMALL(IF('Base de Dados'!$B$3:$B$4991=$B$23,ROW('Base de Dados'!$B$3:$B$4991)-2),ROW(A61)),1),"-")</f>
        <v>-</v>
      </c>
      <c r="W26" s="185"/>
      <c r="X26" s="185"/>
      <c r="Y26" s="185"/>
      <c r="Z26" s="185"/>
      <c r="AA26" s="185"/>
      <c r="AB26" s="186"/>
    </row>
    <row r="27" spans="1:31" x14ac:dyDescent="0.25">
      <c r="A27" s="204" t="str" cm="1">
        <f t="array" ref="A27">IFERROR(INDEX('Base de Dados'!$A$3:$B$4991,SMALL(IF('Base de Dados'!$B$3:$B$4991=$B$23,ROW('Base de Dados'!$B$3:$B$4991)-2),ROW(A2)),1),"-")</f>
        <v>Game of Thrones</v>
      </c>
      <c r="B27" s="204"/>
      <c r="C27" s="204"/>
      <c r="D27" s="204"/>
      <c r="E27" s="204"/>
      <c r="F27" s="204"/>
      <c r="G27" s="205"/>
      <c r="H27" s="210" t="str" cm="1">
        <f t="array" ref="H27">IFERROR(INDEX('Base de Dados'!$A$3:$B$4991,SMALL(IF('Base de Dados'!$B$3:$B$4991=$B$23,ROW('Base de Dados'!$B$3:$B$4991)-2),ROW(A22)),1),"-")</f>
        <v>-</v>
      </c>
      <c r="I27" s="204"/>
      <c r="J27" s="204"/>
      <c r="K27" s="204"/>
      <c r="L27" s="204"/>
      <c r="M27" s="204"/>
      <c r="N27" s="205"/>
      <c r="O27" s="204" t="str" cm="1">
        <f t="array" ref="O27">IFERROR(INDEX('Base de Dados'!$A$3:$B$4991,SMALL(IF('Base de Dados'!$B$3:$B$4991=$B$23,ROW('Base de Dados'!$B$3:$B$4991)-2),ROW(A42)),1),"-")</f>
        <v>-</v>
      </c>
      <c r="P27" s="204"/>
      <c r="Q27" s="204"/>
      <c r="R27" s="204"/>
      <c r="S27" s="204"/>
      <c r="T27" s="204"/>
      <c r="U27" s="205"/>
      <c r="V27" s="185" t="str" cm="1">
        <f t="array" ref="V27">IFERROR(INDEX('Base de Dados'!$A$3:$B$4991,SMALL(IF('Base de Dados'!$B$3:$B$4991=$B$23,ROW('Base de Dados'!$B$3:$B$4991)-2),ROW(A62)),1),"-")</f>
        <v>-</v>
      </c>
      <c r="W27" s="185"/>
      <c r="X27" s="185"/>
      <c r="Y27" s="185"/>
      <c r="Z27" s="185"/>
      <c r="AA27" s="185"/>
      <c r="AB27" s="186"/>
    </row>
    <row r="28" spans="1:31" x14ac:dyDescent="0.25">
      <c r="A28" s="204" t="str" cm="1">
        <f t="array" ref="A28">IFERROR(INDEX('Base de Dados'!$A$3:$B$4991,SMALL(IF('Base de Dados'!$B$3:$B$4991=$B$23,ROW('Base de Dados'!$B$3:$B$4991)-2),ROW(A3)),1),"-")</f>
        <v>God of War</v>
      </c>
      <c r="B28" s="204"/>
      <c r="C28" s="204"/>
      <c r="D28" s="204"/>
      <c r="E28" s="204"/>
      <c r="F28" s="204"/>
      <c r="G28" s="205"/>
      <c r="H28" s="210" t="str" cm="1">
        <f t="array" ref="H28">IFERROR(INDEX('Base de Dados'!$A$3:$B$4991,SMALL(IF('Base de Dados'!$B$3:$B$4991=$B$23,ROW('Base de Dados'!$B$3:$B$4991)-2),ROW(A23)),1),"-")</f>
        <v>-</v>
      </c>
      <c r="I28" s="204"/>
      <c r="J28" s="204"/>
      <c r="K28" s="204"/>
      <c r="L28" s="204"/>
      <c r="M28" s="204"/>
      <c r="N28" s="205"/>
      <c r="O28" s="204" t="str" cm="1">
        <f t="array" ref="O28">IFERROR(INDEX('Base de Dados'!$A$3:$B$4991,SMALL(IF('Base de Dados'!$B$3:$B$4991=$B$23,ROW('Base de Dados'!$B$3:$B$4991)-2),ROW(A43)),1),"-")</f>
        <v>-</v>
      </c>
      <c r="P28" s="204"/>
      <c r="Q28" s="204"/>
      <c r="R28" s="204"/>
      <c r="S28" s="204"/>
      <c r="T28" s="204"/>
      <c r="U28" s="205"/>
      <c r="V28" s="185" t="str" cm="1">
        <f t="array" ref="V28">IFERROR(INDEX('Base de Dados'!$A$3:$B$4991,SMALL(IF('Base de Dados'!$B$3:$B$4991=$B$23,ROW('Base de Dados'!$B$3:$B$4991)-2),ROW(A63)),1),"-")</f>
        <v>-</v>
      </c>
      <c r="W28" s="185"/>
      <c r="X28" s="185"/>
      <c r="Y28" s="185"/>
      <c r="Z28" s="185"/>
      <c r="AA28" s="185"/>
      <c r="AB28" s="186"/>
    </row>
    <row r="29" spans="1:31" x14ac:dyDescent="0.25">
      <c r="A29" s="204" t="str" cm="1">
        <f t="array" ref="A29">IFERROR(INDEX('Base de Dados'!$A$3:$B$4991,SMALL(IF('Base de Dados'!$B$3:$B$4991=$B$23,ROW('Base de Dados'!$B$3:$B$4991)-2),ROW(A4)),1),"-")</f>
        <v>A Mão Esquerda da Escuridão</v>
      </c>
      <c r="B29" s="204"/>
      <c r="C29" s="204"/>
      <c r="D29" s="204"/>
      <c r="E29" s="204"/>
      <c r="F29" s="204"/>
      <c r="G29" s="205"/>
      <c r="H29" s="210" t="str" cm="1">
        <f t="array" ref="H29">IFERROR(INDEX('Base de Dados'!$A$3:$B$4991,SMALL(IF('Base de Dados'!$B$3:$B$4991=$B$23,ROW('Base de Dados'!$B$3:$B$4991)-2),ROW(A24)),1),"-")</f>
        <v>-</v>
      </c>
      <c r="I29" s="204"/>
      <c r="J29" s="204"/>
      <c r="K29" s="204"/>
      <c r="L29" s="204"/>
      <c r="M29" s="204"/>
      <c r="N29" s="205"/>
      <c r="O29" s="204" t="str" cm="1">
        <f t="array" ref="O29">IFERROR(INDEX('Base de Dados'!$A$3:$B$4991,SMALL(IF('Base de Dados'!$B$3:$B$4991=$B$23,ROW('Base de Dados'!$B$3:$B$4991)-2),ROW(A44)),1),"-")</f>
        <v>-</v>
      </c>
      <c r="P29" s="204"/>
      <c r="Q29" s="204"/>
      <c r="R29" s="204"/>
      <c r="S29" s="204"/>
      <c r="T29" s="204"/>
      <c r="U29" s="205"/>
      <c r="V29" s="185" t="str" cm="1">
        <f t="array" ref="V29">IFERROR(INDEX('Base de Dados'!$A$3:$B$4991,SMALL(IF('Base de Dados'!$B$3:$B$4991=$B$23,ROW('Base de Dados'!$B$3:$B$4991)-2),ROW(A64)),1),"-")</f>
        <v>-</v>
      </c>
      <c r="W29" s="185"/>
      <c r="X29" s="185"/>
      <c r="Y29" s="185"/>
      <c r="Z29" s="185"/>
      <c r="AA29" s="185"/>
      <c r="AB29" s="186"/>
    </row>
    <row r="30" spans="1:31" x14ac:dyDescent="0.25">
      <c r="A30" s="204" t="str" cm="1">
        <f t="array" ref="A30">IFERROR(INDEX('Base de Dados'!$A$3:$B$4991,SMALL(IF('Base de Dados'!$B$3:$B$4991=$B$23,ROW('Base de Dados'!$B$3:$B$4991)-2),ROW(A5)),1),"-")</f>
        <v>Star Wars: Herdeiro do Império</v>
      </c>
      <c r="B30" s="204"/>
      <c r="C30" s="204"/>
      <c r="D30" s="204"/>
      <c r="E30" s="204"/>
      <c r="F30" s="204"/>
      <c r="G30" s="205"/>
      <c r="H30" s="210" t="str" cm="1">
        <f t="array" ref="H30">IFERROR(INDEX('Base de Dados'!$A$3:$B$4991,SMALL(IF('Base de Dados'!$B$3:$B$4991=$B$23,ROW('Base de Dados'!$B$3:$B$4991)-2),ROW(A25)),1),"-")</f>
        <v>-</v>
      </c>
      <c r="I30" s="204"/>
      <c r="J30" s="204"/>
      <c r="K30" s="204"/>
      <c r="L30" s="204"/>
      <c r="M30" s="204"/>
      <c r="N30" s="205"/>
      <c r="O30" s="204" t="str" cm="1">
        <f t="array" ref="O30">IFERROR(INDEX('Base de Dados'!$A$3:$B$4991,SMALL(IF('Base de Dados'!$B$3:$B$4991=$B$23,ROW('Base de Dados'!$B$3:$B$4991)-2),ROW(A45)),1),"-")</f>
        <v>-</v>
      </c>
      <c r="P30" s="204"/>
      <c r="Q30" s="204"/>
      <c r="R30" s="204"/>
      <c r="S30" s="204"/>
      <c r="T30" s="204"/>
      <c r="U30" s="205"/>
      <c r="V30" s="185" t="str" cm="1">
        <f t="array" ref="V30">IFERROR(INDEX('Base de Dados'!$A$3:$B$4991,SMALL(IF('Base de Dados'!$B$3:$B$4991=$B$23,ROW('Base de Dados'!$B$3:$B$4991)-2),ROW(A65)),1),"-")</f>
        <v>-</v>
      </c>
      <c r="W30" s="185"/>
      <c r="X30" s="185"/>
      <c r="Y30" s="185"/>
      <c r="Z30" s="185"/>
      <c r="AA30" s="185"/>
      <c r="AB30" s="186"/>
    </row>
    <row r="31" spans="1:31" x14ac:dyDescent="0.25">
      <c r="A31" s="204" t="str" cm="1">
        <f t="array" ref="A31">IFERROR(INDEX('Base de Dados'!$A$3:$B$4991,SMALL(IF('Base de Dados'!$B$3:$B$4991=$B$23,ROW('Base de Dados'!$B$3:$B$4991)-2),ROW(A6)),1),"-")</f>
        <v>Star Wars: Ascensão da Força Sombria</v>
      </c>
      <c r="B31" s="204"/>
      <c r="C31" s="204"/>
      <c r="D31" s="204"/>
      <c r="E31" s="204"/>
      <c r="F31" s="204"/>
      <c r="G31" s="205"/>
      <c r="H31" s="210" t="str" cm="1">
        <f t="array" ref="H31">IFERROR(INDEX('Base de Dados'!$A$3:$B$4991,SMALL(IF('Base de Dados'!$B$3:$B$4991=$B$23,ROW('Base de Dados'!$B$3:$B$4991)-2),ROW(A26)),1),"-")</f>
        <v>-</v>
      </c>
      <c r="I31" s="204"/>
      <c r="J31" s="204"/>
      <c r="K31" s="204"/>
      <c r="L31" s="204"/>
      <c r="M31" s="204"/>
      <c r="N31" s="205"/>
      <c r="O31" s="204" t="str" cm="1">
        <f t="array" ref="O31">IFERROR(INDEX('Base de Dados'!$A$3:$B$4991,SMALL(IF('Base de Dados'!$B$3:$B$4991=$B$23,ROW('Base de Dados'!$B$3:$B$4991)-2),ROW(A46)),1),"-")</f>
        <v>-</v>
      </c>
      <c r="P31" s="204"/>
      <c r="Q31" s="204"/>
      <c r="R31" s="204"/>
      <c r="S31" s="204"/>
      <c r="T31" s="204"/>
      <c r="U31" s="205"/>
      <c r="V31" s="185" t="str" cm="1">
        <f t="array" ref="V31">IFERROR(INDEX('Base de Dados'!$A$3:$B$4991,SMALL(IF('Base de Dados'!$B$3:$B$4991=$B$23,ROW('Base de Dados'!$B$3:$B$4991)-2),ROW(A66)),1),"-")</f>
        <v>-</v>
      </c>
      <c r="W31" s="185"/>
      <c r="X31" s="185"/>
      <c r="Y31" s="185"/>
      <c r="Z31" s="185"/>
      <c r="AA31" s="185"/>
      <c r="AB31" s="186"/>
    </row>
    <row r="32" spans="1:31" x14ac:dyDescent="0.25">
      <c r="A32" s="204" t="str" cm="1">
        <f t="array" ref="A32">IFERROR(INDEX('Base de Dados'!$A$3:$B$4991,SMALL(IF('Base de Dados'!$B$3:$B$4991=$B$23,ROW('Base de Dados'!$B$3:$B$4991)-2),ROW(A7)),1),"-")</f>
        <v>Star Wars:  O Último Comando</v>
      </c>
      <c r="B32" s="204"/>
      <c r="C32" s="204"/>
      <c r="D32" s="204"/>
      <c r="E32" s="204"/>
      <c r="F32" s="204"/>
      <c r="G32" s="205"/>
      <c r="H32" s="210" t="str" cm="1">
        <f t="array" ref="H32">IFERROR(INDEX('Base de Dados'!$A$3:$B$4991,SMALL(IF('Base de Dados'!$B$3:$B$4991=$B$23,ROW('Base de Dados'!$B$3:$B$4991)-2),ROW(A27)),1),"-")</f>
        <v>-</v>
      </c>
      <c r="I32" s="204"/>
      <c r="J32" s="204"/>
      <c r="K32" s="204"/>
      <c r="L32" s="204"/>
      <c r="M32" s="204"/>
      <c r="N32" s="205"/>
      <c r="O32" s="204" t="str" cm="1">
        <f t="array" ref="O32">IFERROR(INDEX('Base de Dados'!$A$3:$B$4991,SMALL(IF('Base de Dados'!$B$3:$B$4991=$B$23,ROW('Base de Dados'!$B$3:$B$4991)-2),ROW(A47)),1),"-")</f>
        <v>-</v>
      </c>
      <c r="P32" s="204"/>
      <c r="Q32" s="204"/>
      <c r="R32" s="204"/>
      <c r="S32" s="204"/>
      <c r="T32" s="204"/>
      <c r="U32" s="205"/>
      <c r="V32" s="185" t="str" cm="1">
        <f t="array" ref="V32">IFERROR(INDEX('Base de Dados'!$A$3:$B$4991,SMALL(IF('Base de Dados'!$B$3:$B$4991=$B$23,ROW('Base de Dados'!$B$3:$B$4991)-2),ROW(A67)),1),"-")</f>
        <v>-</v>
      </c>
      <c r="W32" s="185"/>
      <c r="X32" s="185"/>
      <c r="Y32" s="185"/>
      <c r="Z32" s="185"/>
      <c r="AA32" s="185"/>
      <c r="AB32" s="186"/>
    </row>
    <row r="33" spans="1:28" x14ac:dyDescent="0.25">
      <c r="A33" s="204" t="str" cm="1">
        <f t="array" ref="A33">IFERROR(INDEX('Base de Dados'!$A$3:$B$4991,SMALL(IF('Base de Dados'!$B$3:$B$4991=$B$23,ROW('Base de Dados'!$B$3:$B$4991)-2),ROW(A8)),1),"-")</f>
        <v>Fever Pitch</v>
      </c>
      <c r="B33" s="204"/>
      <c r="C33" s="204"/>
      <c r="D33" s="204"/>
      <c r="E33" s="204"/>
      <c r="F33" s="204"/>
      <c r="G33" s="205"/>
      <c r="H33" s="210" t="str" cm="1">
        <f t="array" ref="H33">IFERROR(INDEX('Base de Dados'!$A$3:$B$4991,SMALL(IF('Base de Dados'!$B$3:$B$4991=$B$23,ROW('Base de Dados'!$B$3:$B$4991)-2),ROW(A28)),1),"-")</f>
        <v>-</v>
      </c>
      <c r="I33" s="204"/>
      <c r="J33" s="204"/>
      <c r="K33" s="204"/>
      <c r="L33" s="204"/>
      <c r="M33" s="204"/>
      <c r="N33" s="205"/>
      <c r="O33" s="204" t="str" cm="1">
        <f t="array" ref="O33">IFERROR(INDEX('Base de Dados'!$A$3:$B$4991,SMALL(IF('Base de Dados'!$B$3:$B$4991=$B$23,ROW('Base de Dados'!$B$3:$B$4991)-2),ROW(A48)),1),"-")</f>
        <v>-</v>
      </c>
      <c r="P33" s="204"/>
      <c r="Q33" s="204"/>
      <c r="R33" s="204"/>
      <c r="S33" s="204"/>
      <c r="T33" s="204"/>
      <c r="U33" s="205"/>
      <c r="V33" s="185" t="str" cm="1">
        <f t="array" ref="V33">IFERROR(INDEX('Base de Dados'!$A$3:$B$4991,SMALL(IF('Base de Dados'!$B$3:$B$4991=$B$23,ROW('Base de Dados'!$B$3:$B$4991)-2),ROW(A68)),1),"-")</f>
        <v>-</v>
      </c>
      <c r="W33" s="185"/>
      <c r="X33" s="185"/>
      <c r="Y33" s="185"/>
      <c r="Z33" s="185"/>
      <c r="AA33" s="185"/>
      <c r="AB33" s="186"/>
    </row>
    <row r="34" spans="1:28" x14ac:dyDescent="0.25">
      <c r="A34" s="204" t="str" cm="1">
        <f t="array" ref="A34">IFERROR(INDEX('Base de Dados'!$A$3:$B$4991,SMALL(IF('Base de Dados'!$B$3:$B$4991=$B$23,ROW('Base de Dados'!$B$3:$B$4991)-2),ROW(A9)),1),"-")</f>
        <v>The Adventures of Huckleberry Finn</v>
      </c>
      <c r="B34" s="204"/>
      <c r="C34" s="204"/>
      <c r="D34" s="204"/>
      <c r="E34" s="204"/>
      <c r="F34" s="204"/>
      <c r="G34" s="205"/>
      <c r="H34" s="210" t="str" cm="1">
        <f t="array" ref="H34">IFERROR(INDEX('Base de Dados'!$A$3:$B$4991,SMALL(IF('Base de Dados'!$B$3:$B$4991=$B$23,ROW('Base de Dados'!$B$3:$B$4991)-2),ROW(A29)),1),"-")</f>
        <v>-</v>
      </c>
      <c r="I34" s="204"/>
      <c r="J34" s="204"/>
      <c r="K34" s="204"/>
      <c r="L34" s="204"/>
      <c r="M34" s="204"/>
      <c r="N34" s="205"/>
      <c r="O34" s="204" t="str" cm="1">
        <f t="array" ref="O34">IFERROR(INDEX('Base de Dados'!$A$3:$B$4991,SMALL(IF('Base de Dados'!$B$3:$B$4991=$B$23,ROW('Base de Dados'!$B$3:$B$4991)-2),ROW(A49)),1),"-")</f>
        <v>-</v>
      </c>
      <c r="P34" s="204"/>
      <c r="Q34" s="204"/>
      <c r="R34" s="204"/>
      <c r="S34" s="204"/>
      <c r="T34" s="204"/>
      <c r="U34" s="205"/>
      <c r="V34" s="185" t="str" cm="1">
        <f t="array" ref="V34">IFERROR(INDEX('Base de Dados'!$A$3:$B$4991,SMALL(IF('Base de Dados'!$B$3:$B$4991=$B$23,ROW('Base de Dados'!$B$3:$B$4991)-2),ROW(A69)),1),"-")</f>
        <v>-</v>
      </c>
      <c r="W34" s="185"/>
      <c r="X34" s="185"/>
      <c r="Y34" s="185"/>
      <c r="Z34" s="185"/>
      <c r="AA34" s="185"/>
      <c r="AB34" s="186"/>
    </row>
    <row r="35" spans="1:28" x14ac:dyDescent="0.25">
      <c r="A35" s="204" t="str" cm="1">
        <f t="array" ref="A35">IFERROR(INDEX('Base de Dados'!$A$3:$B$4991,SMALL(IF('Base de Dados'!$B$3:$B$4991=$B$23,ROW('Base de Dados'!$B$3:$B$4991)-2),ROW(A10)),1),"-")</f>
        <v>Deadhouse Gates</v>
      </c>
      <c r="B35" s="204"/>
      <c r="C35" s="204"/>
      <c r="D35" s="204"/>
      <c r="E35" s="204"/>
      <c r="F35" s="204"/>
      <c r="G35" s="205"/>
      <c r="H35" s="210" t="str" cm="1">
        <f t="array" ref="H35">IFERROR(INDEX('Base de Dados'!$A$3:$B$4991,SMALL(IF('Base de Dados'!$B$3:$B$4991=$B$23,ROW('Base de Dados'!$B$3:$B$4991)-2),ROW(A30)),1),"-")</f>
        <v>-</v>
      </c>
      <c r="I35" s="204"/>
      <c r="J35" s="204"/>
      <c r="K35" s="204"/>
      <c r="L35" s="204"/>
      <c r="M35" s="204"/>
      <c r="N35" s="205"/>
      <c r="O35" s="204" t="str" cm="1">
        <f t="array" ref="O35">IFERROR(INDEX('Base de Dados'!$A$3:$B$4991,SMALL(IF('Base de Dados'!$B$3:$B$4991=$B$23,ROW('Base de Dados'!$B$3:$B$4991)-2),ROW(A50)),1),"-")</f>
        <v>-</v>
      </c>
      <c r="P35" s="204"/>
      <c r="Q35" s="204"/>
      <c r="R35" s="204"/>
      <c r="S35" s="204"/>
      <c r="T35" s="204"/>
      <c r="U35" s="205"/>
      <c r="V35" s="185" t="str" cm="1">
        <f t="array" ref="V35">IFERROR(INDEX('Base de Dados'!$A$3:$B$4991,SMALL(IF('Base de Dados'!$B$3:$B$4991=$B$23,ROW('Base de Dados'!$B$3:$B$4991)-2),ROW(A70)),1),"-")</f>
        <v>-</v>
      </c>
      <c r="W35" s="185"/>
      <c r="X35" s="185"/>
      <c r="Y35" s="185"/>
      <c r="Z35" s="185"/>
      <c r="AA35" s="185"/>
      <c r="AB35" s="186"/>
    </row>
    <row r="36" spans="1:28" x14ac:dyDescent="0.25">
      <c r="A36" s="204" t="str" cm="1">
        <f t="array" ref="A36">IFERROR(INDEX('Base de Dados'!$A$3:$B$4991,SMALL(IF('Base de Dados'!$B$3:$B$4991=$B$23,ROW('Base de Dados'!$B$3:$B$4991)-2),ROW(A11)),1),"-")</f>
        <v>The End of Eternity</v>
      </c>
      <c r="B36" s="204"/>
      <c r="C36" s="204"/>
      <c r="D36" s="204"/>
      <c r="E36" s="204"/>
      <c r="F36" s="204"/>
      <c r="G36" s="205"/>
      <c r="H36" s="210" t="str" cm="1">
        <f t="array" ref="H36">IFERROR(INDEX('Base de Dados'!$A$3:$B$4991,SMALL(IF('Base de Dados'!$B$3:$B$4991=$B$23,ROW('Base de Dados'!$B$3:$B$4991)-2),ROW(A31)),1),"-")</f>
        <v>-</v>
      </c>
      <c r="I36" s="204"/>
      <c r="J36" s="204"/>
      <c r="K36" s="204"/>
      <c r="L36" s="204"/>
      <c r="M36" s="204"/>
      <c r="N36" s="205"/>
      <c r="O36" s="204" t="str" cm="1">
        <f t="array" ref="O36">IFERROR(INDEX('Base de Dados'!$A$3:$B$4991,SMALL(IF('Base de Dados'!$B$3:$B$4991=$B$23,ROW('Base de Dados'!$B$3:$B$4991)-2),ROW(A51)),1),"-")</f>
        <v>-</v>
      </c>
      <c r="P36" s="204"/>
      <c r="Q36" s="204"/>
      <c r="R36" s="204"/>
      <c r="S36" s="204"/>
      <c r="T36" s="204"/>
      <c r="U36" s="205"/>
      <c r="V36" s="185" t="str" cm="1">
        <f t="array" ref="V36">IFERROR(INDEX('Base de Dados'!$A$3:$B$4991,SMALL(IF('Base de Dados'!$B$3:$B$4991=$B$23,ROW('Base de Dados'!$B$3:$B$4991)-2),ROW(A71)),1),"-")</f>
        <v>-</v>
      </c>
      <c r="W36" s="185"/>
      <c r="X36" s="185"/>
      <c r="Y36" s="185"/>
      <c r="Z36" s="185"/>
      <c r="AA36" s="185"/>
      <c r="AB36" s="186"/>
    </row>
    <row r="37" spans="1:28" x14ac:dyDescent="0.25">
      <c r="A37" s="204" t="str" cm="1">
        <f t="array" ref="A37">IFERROR(INDEX('Base de Dados'!$A$3:$B$4991,SMALL(IF('Base de Dados'!$B$3:$B$4991=$B$23,ROW('Base de Dados'!$B$3:$B$4991)-2),ROW(A12)),1),"-")</f>
        <v>Gardens of the Moon</v>
      </c>
      <c r="B37" s="204"/>
      <c r="C37" s="204"/>
      <c r="D37" s="204"/>
      <c r="E37" s="204"/>
      <c r="F37" s="204"/>
      <c r="G37" s="205"/>
      <c r="H37" s="210" t="str" cm="1">
        <f t="array" ref="H37">IFERROR(INDEX('Base de Dados'!$A$3:$B$4991,SMALL(IF('Base de Dados'!$B$3:$B$4991=$B$23,ROW('Base de Dados'!$B$3:$B$4991)-2),ROW(A32)),1),"-")</f>
        <v>-</v>
      </c>
      <c r="I37" s="204"/>
      <c r="J37" s="204"/>
      <c r="K37" s="204"/>
      <c r="L37" s="204"/>
      <c r="M37" s="204"/>
      <c r="N37" s="205"/>
      <c r="O37" s="204" t="str" cm="1">
        <f t="array" ref="O37">IFERROR(INDEX('Base de Dados'!$A$3:$B$4991,SMALL(IF('Base de Dados'!$B$3:$B$4991=$B$23,ROW('Base de Dados'!$B$3:$B$4991)-2),ROW(A52)),1),"-")</f>
        <v>-</v>
      </c>
      <c r="P37" s="204"/>
      <c r="Q37" s="204"/>
      <c r="R37" s="204"/>
      <c r="S37" s="204"/>
      <c r="T37" s="204"/>
      <c r="U37" s="205"/>
      <c r="V37" s="185" t="str" cm="1">
        <f t="array" ref="V37">IFERROR(INDEX('Base de Dados'!$A$3:$B$4991,SMALL(IF('Base de Dados'!$B$3:$B$4991=$B$23,ROW('Base de Dados'!$B$3:$B$4991)-2),ROW(A72)),1),"-")</f>
        <v>-</v>
      </c>
      <c r="W37" s="185"/>
      <c r="X37" s="185"/>
      <c r="Y37" s="185"/>
      <c r="Z37" s="185"/>
      <c r="AA37" s="185"/>
      <c r="AB37" s="186"/>
    </row>
    <row r="38" spans="1:28" x14ac:dyDescent="0.25">
      <c r="A38" s="204" t="str" cm="1">
        <f t="array" ref="A38">IFERROR(INDEX('Base de Dados'!$A$3:$B$4991,SMALL(IF('Base de Dados'!$B$3:$B$4991=$B$23,ROW('Base de Dados'!$B$3:$B$4991)-2),ROW(A13)),1),"-")</f>
        <v>O Guia Definitivo do Mochileiro das Galáxias</v>
      </c>
      <c r="B38" s="204"/>
      <c r="C38" s="204"/>
      <c r="D38" s="204"/>
      <c r="E38" s="204"/>
      <c r="F38" s="204"/>
      <c r="G38" s="205"/>
      <c r="H38" s="210" t="str" cm="1">
        <f t="array" ref="H38">IFERROR(INDEX('Base de Dados'!$A$3:$B$4991,SMALL(IF('Base de Dados'!$B$3:$B$4991=$B$23,ROW('Base de Dados'!$B$3:$B$4991)-2),ROW(A33)),1),"-")</f>
        <v>-</v>
      </c>
      <c r="I38" s="204"/>
      <c r="J38" s="204"/>
      <c r="K38" s="204"/>
      <c r="L38" s="204"/>
      <c r="M38" s="204"/>
      <c r="N38" s="205"/>
      <c r="O38" s="204" t="str" cm="1">
        <f t="array" ref="O38">IFERROR(INDEX('Base de Dados'!$A$3:$B$4991,SMALL(IF('Base de Dados'!$B$3:$B$4991=$B$23,ROW('Base de Dados'!$B$3:$B$4991)-2),ROW(A53)),1),"-")</f>
        <v>-</v>
      </c>
      <c r="P38" s="204"/>
      <c r="Q38" s="204"/>
      <c r="R38" s="204"/>
      <c r="S38" s="204"/>
      <c r="T38" s="204"/>
      <c r="U38" s="205"/>
      <c r="V38" s="185" t="str" cm="1">
        <f t="array" ref="V38">IFERROR(INDEX('Base de Dados'!$A$3:$B$4991,SMALL(IF('Base de Dados'!$B$3:$B$4991=$B$23,ROW('Base de Dados'!$B$3:$B$4991)-2),ROW(A73)),1),"-")</f>
        <v>-</v>
      </c>
      <c r="W38" s="185"/>
      <c r="X38" s="185"/>
      <c r="Y38" s="185"/>
      <c r="Z38" s="185"/>
      <c r="AA38" s="185"/>
      <c r="AB38" s="186"/>
    </row>
    <row r="39" spans="1:28" x14ac:dyDescent="0.25">
      <c r="A39" s="204" t="str" cm="1">
        <f t="array" ref="A39">IFERROR(INDEX('Base de Dados'!$A$3:$B$4991,SMALL(IF('Base de Dados'!$B$3:$B$4991=$B$23,ROW('Base de Dados'!$B$3:$B$4991)-2),ROW(A14)),1),"-")</f>
        <v>A Bíblia do Caos</v>
      </c>
      <c r="B39" s="204"/>
      <c r="C39" s="204"/>
      <c r="D39" s="204"/>
      <c r="E39" s="204"/>
      <c r="F39" s="204"/>
      <c r="G39" s="205"/>
      <c r="H39" s="210" t="str" cm="1">
        <f t="array" ref="H39">IFERROR(INDEX('Base de Dados'!$A$3:$B$4991,SMALL(IF('Base de Dados'!$B$3:$B$4991=$B$23,ROW('Base de Dados'!$B$3:$B$4991)-2),ROW(A34)),1),"-")</f>
        <v>-</v>
      </c>
      <c r="I39" s="204"/>
      <c r="J39" s="204"/>
      <c r="K39" s="204"/>
      <c r="L39" s="204"/>
      <c r="M39" s="204"/>
      <c r="N39" s="205"/>
      <c r="O39" s="204" t="str" cm="1">
        <f t="array" ref="O39">IFERROR(INDEX('Base de Dados'!$A$3:$B$4991,SMALL(IF('Base de Dados'!$B$3:$B$4991=$B$23,ROW('Base de Dados'!$B$3:$B$4991)-2),ROW(A54)),1),"-")</f>
        <v>-</v>
      </c>
      <c r="P39" s="204"/>
      <c r="Q39" s="204"/>
      <c r="R39" s="204"/>
      <c r="S39" s="204"/>
      <c r="T39" s="204"/>
      <c r="U39" s="205"/>
      <c r="V39" s="185" t="str" cm="1">
        <f t="array" ref="V39">IFERROR(INDEX('Base de Dados'!$A$3:$B$4991,SMALL(IF('Base de Dados'!$B$3:$B$4991=$B$23,ROW('Base de Dados'!$B$3:$B$4991)-2),ROW(A74)),1),"-")</f>
        <v>-</v>
      </c>
      <c r="W39" s="185"/>
      <c r="X39" s="185"/>
      <c r="Y39" s="185"/>
      <c r="Z39" s="185"/>
      <c r="AA39" s="185"/>
      <c r="AB39" s="186"/>
    </row>
    <row r="40" spans="1:28" x14ac:dyDescent="0.25">
      <c r="A40" s="204" t="str" cm="1">
        <f t="array" ref="A40">IFERROR(INDEX('Base de Dados'!$A$3:$B$4991,SMALL(IF('Base de Dados'!$B$3:$B$4991=$B$23,ROW('Base de Dados'!$B$3:$B$4991)-2),ROW(A15)),1),"-")</f>
        <v>A Revolta de Atlas I</v>
      </c>
      <c r="B40" s="204"/>
      <c r="C40" s="204"/>
      <c r="D40" s="204"/>
      <c r="E40" s="204"/>
      <c r="F40" s="204"/>
      <c r="G40" s="205"/>
      <c r="H40" s="210" t="str" cm="1">
        <f t="array" ref="H40">IFERROR(INDEX('Base de Dados'!$A$3:$B$4991,SMALL(IF('Base de Dados'!$B$3:$B$4991=$B$23,ROW('Base de Dados'!$B$3:$B$4991)-2),ROW(A35)),1),"-")</f>
        <v>-</v>
      </c>
      <c r="I40" s="204"/>
      <c r="J40" s="204"/>
      <c r="K40" s="204"/>
      <c r="L40" s="204"/>
      <c r="M40" s="204"/>
      <c r="N40" s="205"/>
      <c r="O40" s="204" t="str" cm="1">
        <f t="array" ref="O40">IFERROR(INDEX('Base de Dados'!$A$3:$B$4991,SMALL(IF('Base de Dados'!$B$3:$B$4991=$B$23,ROW('Base de Dados'!$B$3:$B$4991)-2),ROW(A55)),1),"-")</f>
        <v>-</v>
      </c>
      <c r="P40" s="204"/>
      <c r="Q40" s="204"/>
      <c r="R40" s="204"/>
      <c r="S40" s="204"/>
      <c r="T40" s="204"/>
      <c r="U40" s="205"/>
      <c r="V40" s="185" t="str" cm="1">
        <f t="array" ref="V40">IFERROR(INDEX('Base de Dados'!$A$3:$B$4991,SMALL(IF('Base de Dados'!$B$3:$B$4991=$B$23,ROW('Base de Dados'!$B$3:$B$4991)-2),ROW(A75)),1),"-")</f>
        <v>-</v>
      </c>
      <c r="W40" s="185"/>
      <c r="X40" s="185"/>
      <c r="Y40" s="185"/>
      <c r="Z40" s="185"/>
      <c r="AA40" s="185"/>
      <c r="AB40" s="186"/>
    </row>
    <row r="41" spans="1:28" x14ac:dyDescent="0.25">
      <c r="A41" s="204" t="str" cm="1">
        <f t="array" ref="A41">IFERROR(INDEX('Base de Dados'!$A$3:$B$4991,SMALL(IF('Base de Dados'!$B$3:$B$4991=$B$23,ROW('Base de Dados'!$B$3:$B$4991)-2),ROW(A16)),1),"-")</f>
        <v>A Revolta de Atlas II</v>
      </c>
      <c r="B41" s="204"/>
      <c r="C41" s="204"/>
      <c r="D41" s="204"/>
      <c r="E41" s="204"/>
      <c r="F41" s="204"/>
      <c r="G41" s="205"/>
      <c r="H41" s="210" t="str" cm="1">
        <f t="array" ref="H41">IFERROR(INDEX('Base de Dados'!$A$3:$B$4991,SMALL(IF('Base de Dados'!$B$3:$B$4991=$B$23,ROW('Base de Dados'!$B$3:$B$4991)-2),ROW(A36)),1),"-")</f>
        <v>-</v>
      </c>
      <c r="I41" s="204"/>
      <c r="J41" s="204"/>
      <c r="K41" s="204"/>
      <c r="L41" s="204"/>
      <c r="M41" s="204"/>
      <c r="N41" s="205"/>
      <c r="O41" s="204" t="str" cm="1">
        <f t="array" ref="O41">IFERROR(INDEX('Base de Dados'!$A$3:$B$4991,SMALL(IF('Base de Dados'!$B$3:$B$4991=$B$23,ROW('Base de Dados'!$B$3:$B$4991)-2),ROW(A56)),1),"-")</f>
        <v>-</v>
      </c>
      <c r="P41" s="204"/>
      <c r="Q41" s="204"/>
      <c r="R41" s="204"/>
      <c r="S41" s="204"/>
      <c r="T41" s="204"/>
      <c r="U41" s="205"/>
      <c r="V41" s="185" t="str" cm="1">
        <f t="array" ref="V41">IFERROR(INDEX('Base de Dados'!$A$3:$B$4991,SMALL(IF('Base de Dados'!$B$3:$B$4991=$B$23,ROW('Base de Dados'!$B$3:$B$4991)-2),ROW(A76)),1),"-")</f>
        <v>-</v>
      </c>
      <c r="W41" s="185"/>
      <c r="X41" s="185"/>
      <c r="Y41" s="185"/>
      <c r="Z41" s="185"/>
      <c r="AA41" s="185"/>
      <c r="AB41" s="186"/>
    </row>
    <row r="42" spans="1:28" x14ac:dyDescent="0.25">
      <c r="A42" s="204" t="str" cm="1">
        <f t="array" ref="A42">IFERROR(INDEX('Base de Dados'!$A$3:$B$4991,SMALL(IF('Base de Dados'!$B$3:$B$4991=$B$23,ROW('Base de Dados'!$B$3:$B$4991)-2),ROW(A17)),1),"-")</f>
        <v>A Revolta de Atlas III</v>
      </c>
      <c r="B42" s="204"/>
      <c r="C42" s="204"/>
      <c r="D42" s="204"/>
      <c r="E42" s="204"/>
      <c r="F42" s="204"/>
      <c r="G42" s="205"/>
      <c r="H42" s="210" t="str" cm="1">
        <f t="array" ref="H42">IFERROR(INDEX('Base de Dados'!$A$3:$B$4991,SMALL(IF('Base de Dados'!$B$3:$B$4991=$B$23,ROW('Base de Dados'!$B$3:$B$4991)-2),ROW(A37)),1),"-")</f>
        <v>-</v>
      </c>
      <c r="I42" s="204"/>
      <c r="J42" s="204"/>
      <c r="K42" s="204"/>
      <c r="L42" s="204"/>
      <c r="M42" s="204"/>
      <c r="N42" s="205"/>
      <c r="O42" s="204" t="str" cm="1">
        <f t="array" ref="O42">IFERROR(INDEX('Base de Dados'!$A$3:$B$4991,SMALL(IF('Base de Dados'!$B$3:$B$4991=$B$23,ROW('Base de Dados'!$B$3:$B$4991)-2),ROW(A57)),1),"-")</f>
        <v>-</v>
      </c>
      <c r="P42" s="204"/>
      <c r="Q42" s="204"/>
      <c r="R42" s="204"/>
      <c r="S42" s="204"/>
      <c r="T42" s="204"/>
      <c r="U42" s="205"/>
      <c r="V42" s="185" t="str" cm="1">
        <f t="array" ref="V42">IFERROR(INDEX('Base de Dados'!$A$3:$B$4991,SMALL(IF('Base de Dados'!$B$3:$B$4991=$B$23,ROW('Base de Dados'!$B$3:$B$4991)-2),ROW(A77)),1),"-")</f>
        <v>-</v>
      </c>
      <c r="W42" s="185"/>
      <c r="X42" s="185"/>
      <c r="Y42" s="185"/>
      <c r="Z42" s="185"/>
      <c r="AA42" s="185"/>
      <c r="AB42" s="186"/>
    </row>
    <row r="43" spans="1:28" x14ac:dyDescent="0.25">
      <c r="A43" s="204" t="str" cm="1">
        <f t="array" ref="A43">IFERROR(INDEX('Base de Dados'!$A$3:$B$4991,SMALL(IF('Base de Dados'!$B$3:$B$4991=$B$23,ROW('Base de Dados'!$B$3:$B$4991)-2),ROW(A18)),1),"-")</f>
        <v>Clássicos Favoritos de Todos os Tempos</v>
      </c>
      <c r="B43" s="204"/>
      <c r="C43" s="204"/>
      <c r="D43" s="204"/>
      <c r="E43" s="204"/>
      <c r="F43" s="204"/>
      <c r="G43" s="205"/>
      <c r="H43" s="210" t="str" cm="1">
        <f t="array" ref="H43">IFERROR(INDEX('Base de Dados'!$A$3:$B$4991,SMALL(IF('Base de Dados'!$B$3:$B$4991=$B$23,ROW('Base de Dados'!$B$3:$B$4991)-2),ROW(A38)),1),"-")</f>
        <v>-</v>
      </c>
      <c r="I43" s="204"/>
      <c r="J43" s="204"/>
      <c r="K43" s="204"/>
      <c r="L43" s="204"/>
      <c r="M43" s="204"/>
      <c r="N43" s="205"/>
      <c r="O43" s="204" t="str" cm="1">
        <f t="array" ref="O43">IFERROR(INDEX('Base de Dados'!$A$3:$B$4991,SMALL(IF('Base de Dados'!$B$3:$B$4991=$B$23,ROW('Base de Dados'!$B$3:$B$4991)-2),ROW(A58)),1),"-")</f>
        <v>-</v>
      </c>
      <c r="P43" s="204"/>
      <c r="Q43" s="204"/>
      <c r="R43" s="204"/>
      <c r="S43" s="204"/>
      <c r="T43" s="204"/>
      <c r="U43" s="205"/>
      <c r="V43" s="185" t="str" cm="1">
        <f t="array" ref="V43">IFERROR(INDEX('Base de Dados'!$A$3:$B$4991,SMALL(IF('Base de Dados'!$B$3:$B$4991=$B$23,ROW('Base de Dados'!$B$3:$B$4991)-2),ROW(A78)),1),"-")</f>
        <v>-</v>
      </c>
      <c r="W43" s="185"/>
      <c r="X43" s="185"/>
      <c r="Y43" s="185"/>
      <c r="Z43" s="185"/>
      <c r="AA43" s="185"/>
      <c r="AB43" s="186"/>
    </row>
    <row r="44" spans="1:28" x14ac:dyDescent="0.25">
      <c r="A44" s="204" t="str" cm="1">
        <f t="array" ref="A44">IFERROR(INDEX('Base de Dados'!$A$3:$B$4991,SMALL(IF('Base de Dados'!$B$3:$B$4991=$B$23,ROW('Base de Dados'!$B$3:$B$4991)-2),ROW(A19)),1),"-")</f>
        <v>-</v>
      </c>
      <c r="B44" s="204"/>
      <c r="C44" s="204"/>
      <c r="D44" s="204"/>
      <c r="E44" s="204"/>
      <c r="F44" s="204"/>
      <c r="G44" s="205"/>
      <c r="H44" s="210" t="str" cm="1">
        <f t="array" ref="H44">IFERROR(INDEX('Base de Dados'!$A$3:$B$4991,SMALL(IF('Base de Dados'!$B$3:$B$4991=$B$23,ROW('Base de Dados'!$B$3:$B$4991)-2),ROW(A39)),1),"-")</f>
        <v>-</v>
      </c>
      <c r="I44" s="204"/>
      <c r="J44" s="204"/>
      <c r="K44" s="204"/>
      <c r="L44" s="204"/>
      <c r="M44" s="204"/>
      <c r="N44" s="205"/>
      <c r="O44" s="204" t="str" cm="1">
        <f t="array" ref="O44">IFERROR(INDEX('Base de Dados'!$A$3:$B$4991,SMALL(IF('Base de Dados'!$B$3:$B$4991=$B$23,ROW('Base de Dados'!$B$3:$B$4991)-2),ROW(A59)),1),"-")</f>
        <v>-</v>
      </c>
      <c r="P44" s="204"/>
      <c r="Q44" s="204"/>
      <c r="R44" s="204"/>
      <c r="S44" s="204"/>
      <c r="T44" s="204"/>
      <c r="U44" s="205"/>
      <c r="V44" s="185" t="str" cm="1">
        <f t="array" ref="V44">IFERROR(INDEX('Base de Dados'!$A$3:$B$4991,SMALL(IF('Base de Dados'!$B$3:$B$4991=$B$23,ROW('Base de Dados'!$B$3:$B$4991)-2),ROW(A79)),1),"-")</f>
        <v>-</v>
      </c>
      <c r="W44" s="185"/>
      <c r="X44" s="185"/>
      <c r="Y44" s="185"/>
      <c r="Z44" s="185"/>
      <c r="AA44" s="185"/>
      <c r="AB44" s="186"/>
    </row>
    <row r="45" spans="1:28" x14ac:dyDescent="0.25">
      <c r="A45" s="204" t="str" cm="1">
        <f t="array" ref="A45">IFERROR(INDEX('Base de Dados'!$A$3:$B$4991,SMALL(IF('Base de Dados'!$B$3:$B$4991=$B$23,ROW('Base de Dados'!$B$3:$B$4991)-2),ROW(A20)),1),"-")</f>
        <v>-</v>
      </c>
      <c r="B45" s="204"/>
      <c r="C45" s="204"/>
      <c r="D45" s="204"/>
      <c r="E45" s="204"/>
      <c r="F45" s="204"/>
      <c r="G45" s="205"/>
      <c r="H45" s="210" t="str" cm="1">
        <f t="array" ref="H45">IFERROR(INDEX('Base de Dados'!$A$3:$B$4991,SMALL(IF('Base de Dados'!$B$3:$B$4991=$B$23,ROW('Base de Dados'!$B$3:$B$4991)-2),ROW(A40)),1),"-")</f>
        <v>-</v>
      </c>
      <c r="I45" s="204"/>
      <c r="J45" s="204"/>
      <c r="K45" s="204"/>
      <c r="L45" s="204"/>
      <c r="M45" s="204"/>
      <c r="N45" s="205"/>
      <c r="O45" s="204" t="str" cm="1">
        <f t="array" ref="O45">IFERROR(INDEX('Base de Dados'!$A$3:$B$4991,SMALL(IF('Base de Dados'!$B$3:$B$4991=$B$23,ROW('Base de Dados'!$B$3:$B$4991)-2),ROW(A60)),1),"-")</f>
        <v>-</v>
      </c>
      <c r="P45" s="204"/>
      <c r="Q45" s="204"/>
      <c r="R45" s="204"/>
      <c r="S45" s="204"/>
      <c r="T45" s="204"/>
      <c r="U45" s="205"/>
      <c r="V45" s="185" t="str" cm="1">
        <f t="array" ref="V45">IFERROR(INDEX('Base de Dados'!$A$3:$B$4991,SMALL(IF('Base de Dados'!$B$3:$B$4991=$B$23,ROW('Base de Dados'!$B$3:$B$4991)-2),ROW(A80)),1),"-")</f>
        <v>-</v>
      </c>
      <c r="W45" s="185"/>
      <c r="X45" s="185"/>
      <c r="Y45" s="185"/>
      <c r="Z45" s="185"/>
      <c r="AA45" s="185"/>
      <c r="AB45" s="186"/>
    </row>
    <row r="47" spans="1:28" ht="18.75" x14ac:dyDescent="0.3">
      <c r="A47" s="190" t="s">
        <v>729</v>
      </c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</row>
    <row r="48" spans="1:28" ht="21" x14ac:dyDescent="0.35">
      <c r="A48" s="24" t="s">
        <v>730</v>
      </c>
      <c r="B48" s="211" t="s">
        <v>634</v>
      </c>
      <c r="C48" s="212"/>
      <c r="D48" s="212"/>
      <c r="E48" s="212"/>
      <c r="F48" s="212"/>
      <c r="G48" s="213"/>
      <c r="H48" s="23"/>
      <c r="I48" s="167" t="s">
        <v>731</v>
      </c>
      <c r="J48" s="168"/>
      <c r="K48" s="168"/>
      <c r="L48" s="169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188" t="s">
        <v>728</v>
      </c>
      <c r="B50" s="189"/>
      <c r="C50" s="189"/>
      <c r="D50" s="189"/>
      <c r="E50" s="189"/>
      <c r="F50" s="189"/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206"/>
      <c r="W50" s="206"/>
      <c r="X50" s="206"/>
      <c r="Y50" s="206"/>
      <c r="Z50" s="206"/>
      <c r="AA50" s="206"/>
      <c r="AB50" s="206"/>
    </row>
    <row r="51" spans="1:28" x14ac:dyDescent="0.25">
      <c r="A51" s="204" t="str" cm="1">
        <f t="array" ref="A51">IFERROR(INDEX('Base de Dados'!$A$3:$C$4991,SMALL(IF('Base de Dados'!$C$3:$C$4991=$B$48,ROW('Base de Dados'!$C$3:$C$4991)-2),ROW(A1)),1)," -")</f>
        <v>Larousse Avançado - Inglês / Português</v>
      </c>
      <c r="B51" s="204"/>
      <c r="C51" s="204"/>
      <c r="D51" s="204"/>
      <c r="E51" s="204"/>
      <c r="F51" s="204"/>
      <c r="G51" s="205"/>
      <c r="H51" s="187" t="str" cm="1">
        <f t="array" ref="H51">IFERROR(INDEX('Base de Dados'!$A$3:$C$4991,SMALL(IF('Base de Dados'!$C$3:$C$4991=$B$48,ROW('Base de Dados'!$C$3:$C$4991)-2),ROW(A21)),1)," -")</f>
        <v xml:space="preserve"> -</v>
      </c>
      <c r="I51" s="185"/>
      <c r="J51" s="185"/>
      <c r="K51" s="185"/>
      <c r="L51" s="185"/>
      <c r="M51" s="185"/>
      <c r="N51" s="186"/>
      <c r="O51" s="185" t="str" cm="1">
        <f t="array" ref="O51">IFERROR(INDEX('Base de Dados'!$A$3:$C$4991,SMALL(IF('Base de Dados'!$C$3:$C$4991=$B$48,ROW('Base de Dados'!$C$3:$C$4991)-2),ROW(A41)),1)," -")</f>
        <v xml:space="preserve"> -</v>
      </c>
      <c r="P51" s="185"/>
      <c r="Q51" s="185"/>
      <c r="R51" s="185"/>
      <c r="S51" s="185"/>
      <c r="T51" s="185"/>
      <c r="U51" s="186"/>
      <c r="V51" s="185" t="str" cm="1">
        <f t="array" ref="V51">IFERROR(INDEX('Base de Dados'!$A$3:$C$4991,SMALL(IF('Base de Dados'!$C$3:$C$4991=$B$48,ROW('Base de Dados'!$C$3:$C$4991)-2),ROW(A61)),1)," -")</f>
        <v xml:space="preserve"> -</v>
      </c>
      <c r="W51" s="185"/>
      <c r="X51" s="185"/>
      <c r="Y51" s="185"/>
      <c r="Z51" s="185"/>
      <c r="AA51" s="185"/>
      <c r="AB51" s="186"/>
    </row>
    <row r="52" spans="1:28" x14ac:dyDescent="0.25">
      <c r="A52" s="204" t="str" cm="1">
        <f t="array" ref="A52">IFERROR(INDEX('Base de Dados'!$A$3:$C$4991,SMALL(IF('Base de Dados'!$C$3:$C$4991=$B$48,ROW('Base de Dados'!$C$3:$C$4991)-2),ROW(A2)),1)," -")</f>
        <v>Larousse Mini - Francês / Português</v>
      </c>
      <c r="B52" s="204"/>
      <c r="C52" s="204"/>
      <c r="D52" s="204"/>
      <c r="E52" s="204"/>
      <c r="F52" s="204"/>
      <c r="G52" s="205"/>
      <c r="H52" s="187" t="str" cm="1">
        <f t="array" ref="H52">IFERROR(INDEX('Base de Dados'!$A$3:$C$4991,SMALL(IF('Base de Dados'!$C$3:$C$4991=$B$48,ROW('Base de Dados'!$C$3:$C$4991)-2),ROW(A22)),1)," -")</f>
        <v xml:space="preserve"> -</v>
      </c>
      <c r="I52" s="185"/>
      <c r="J52" s="185"/>
      <c r="K52" s="185"/>
      <c r="L52" s="185"/>
      <c r="M52" s="185"/>
      <c r="N52" s="186"/>
      <c r="O52" s="185" t="str" cm="1">
        <f t="array" ref="O52">IFERROR(INDEX('Base de Dados'!$A$3:$C$4991,SMALL(IF('Base de Dados'!$C$3:$C$4991=$B$48,ROW('Base de Dados'!$C$3:$C$4991)-2),ROW(A42)),1)," -")</f>
        <v xml:space="preserve"> -</v>
      </c>
      <c r="P52" s="185"/>
      <c r="Q52" s="185"/>
      <c r="R52" s="185"/>
      <c r="S52" s="185"/>
      <c r="T52" s="185"/>
      <c r="U52" s="186"/>
      <c r="V52" s="185" t="str" cm="1">
        <f t="array" ref="V52">IFERROR(INDEX('Base de Dados'!$A$3:$C$4991,SMALL(IF('Base de Dados'!$C$3:$C$4991=$B$48,ROW('Base de Dados'!$C$3:$C$4991)-2),ROW(A62)),1)," -")</f>
        <v xml:space="preserve"> -</v>
      </c>
      <c r="W52" s="185"/>
      <c r="X52" s="185"/>
      <c r="Y52" s="185"/>
      <c r="Z52" s="185"/>
      <c r="AA52" s="185"/>
      <c r="AB52" s="186"/>
    </row>
    <row r="53" spans="1:28" x14ac:dyDescent="0.25">
      <c r="A53" s="204" t="str" cm="1">
        <f t="array" ref="A53">IFERROR(INDEX('Base de Dados'!$A$3:$C$4991,SMALL(IF('Base de Dados'!$C$3:$C$4991=$B$48,ROW('Base de Dados'!$C$3:$C$4991)-2),ROW(A3)),1)," -")</f>
        <v xml:space="preserve"> -</v>
      </c>
      <c r="B53" s="204"/>
      <c r="C53" s="204"/>
      <c r="D53" s="204"/>
      <c r="E53" s="204"/>
      <c r="F53" s="204"/>
      <c r="G53" s="205"/>
      <c r="H53" s="187" t="str" cm="1">
        <f t="array" ref="H53">IFERROR(INDEX('Base de Dados'!$A$3:$C$4991,SMALL(IF('Base de Dados'!$C$3:$C$4991=$B$48,ROW('Base de Dados'!$C$3:$C$4991)-2),ROW(A23)),1)," -")</f>
        <v xml:space="preserve"> -</v>
      </c>
      <c r="I53" s="185"/>
      <c r="J53" s="185"/>
      <c r="K53" s="185"/>
      <c r="L53" s="185"/>
      <c r="M53" s="185"/>
      <c r="N53" s="186"/>
      <c r="O53" s="185" t="str" cm="1">
        <f t="array" ref="O53">IFERROR(INDEX('Base de Dados'!$A$3:$C$4991,SMALL(IF('Base de Dados'!$C$3:$C$4991=$B$48,ROW('Base de Dados'!$C$3:$C$4991)-2),ROW(A43)),1)," -")</f>
        <v xml:space="preserve"> -</v>
      </c>
      <c r="P53" s="185"/>
      <c r="Q53" s="185"/>
      <c r="R53" s="185"/>
      <c r="S53" s="185"/>
      <c r="T53" s="185"/>
      <c r="U53" s="186"/>
      <c r="V53" s="185" t="str" cm="1">
        <f t="array" ref="V53">IFERROR(INDEX('Base de Dados'!$A$3:$C$4991,SMALL(IF('Base de Dados'!$C$3:$C$4991=$B$48,ROW('Base de Dados'!$C$3:$C$4991)-2),ROW(A63)),1)," -")</f>
        <v xml:space="preserve"> -</v>
      </c>
      <c r="W53" s="185"/>
      <c r="X53" s="185"/>
      <c r="Y53" s="185"/>
      <c r="Z53" s="185"/>
      <c r="AA53" s="185"/>
      <c r="AB53" s="186"/>
    </row>
    <row r="54" spans="1:28" x14ac:dyDescent="0.25">
      <c r="A54" s="204" t="str" cm="1">
        <f t="array" ref="A54">IFERROR(INDEX('Base de Dados'!$A$3:$C$4991,SMALL(IF('Base de Dados'!$C$3:$C$4991=$B$48,ROW('Base de Dados'!$C$3:$C$4991)-2),ROW(A4)),1)," -")</f>
        <v xml:space="preserve"> -</v>
      </c>
      <c r="B54" s="204"/>
      <c r="C54" s="204"/>
      <c r="D54" s="204"/>
      <c r="E54" s="204"/>
      <c r="F54" s="204"/>
      <c r="G54" s="205"/>
      <c r="H54" s="187" t="str" cm="1">
        <f t="array" ref="H54">IFERROR(INDEX('Base de Dados'!$A$3:$C$4991,SMALL(IF('Base de Dados'!$C$3:$C$4991=$B$48,ROW('Base de Dados'!$C$3:$C$4991)-2),ROW(A24)),1)," -")</f>
        <v xml:space="preserve"> -</v>
      </c>
      <c r="I54" s="185"/>
      <c r="J54" s="185"/>
      <c r="K54" s="185"/>
      <c r="L54" s="185"/>
      <c r="M54" s="185"/>
      <c r="N54" s="186"/>
      <c r="O54" s="185" t="str" cm="1">
        <f t="array" ref="O54">IFERROR(INDEX('Base de Dados'!$A$3:$C$4991,SMALL(IF('Base de Dados'!$C$3:$C$4991=$B$48,ROW('Base de Dados'!$C$3:$C$4991)-2),ROW(A44)),1)," -")</f>
        <v xml:space="preserve"> -</v>
      </c>
      <c r="P54" s="185"/>
      <c r="Q54" s="185"/>
      <c r="R54" s="185"/>
      <c r="S54" s="185"/>
      <c r="T54" s="185"/>
      <c r="U54" s="186"/>
      <c r="V54" s="185" t="str" cm="1">
        <f t="array" ref="V54">IFERROR(INDEX('Base de Dados'!$A$3:$C$4991,SMALL(IF('Base de Dados'!$C$3:$C$4991=$B$48,ROW('Base de Dados'!$C$3:$C$4991)-2),ROW(A64)),1)," -")</f>
        <v xml:space="preserve"> -</v>
      </c>
      <c r="W54" s="185"/>
      <c r="X54" s="185"/>
      <c r="Y54" s="185"/>
      <c r="Z54" s="185"/>
      <c r="AA54" s="185"/>
      <c r="AB54" s="186"/>
    </row>
    <row r="55" spans="1:28" x14ac:dyDescent="0.25">
      <c r="A55" s="204" t="str" cm="1">
        <f t="array" ref="A55">IFERROR(INDEX('Base de Dados'!$A$3:$C$4991,SMALL(IF('Base de Dados'!$C$3:$C$4991=$B$48,ROW('Base de Dados'!$C$3:$C$4991)-2),ROW(A5)),1)," -")</f>
        <v xml:space="preserve"> -</v>
      </c>
      <c r="B55" s="204"/>
      <c r="C55" s="204"/>
      <c r="D55" s="204"/>
      <c r="E55" s="204"/>
      <c r="F55" s="204"/>
      <c r="G55" s="205"/>
      <c r="H55" s="187" t="str" cm="1">
        <f t="array" ref="H55">IFERROR(INDEX('Base de Dados'!$A$3:$C$4991,SMALL(IF('Base de Dados'!$C$3:$C$4991=$B$48,ROW('Base de Dados'!$C$3:$C$4991)-2),ROW(A25)),1)," -")</f>
        <v xml:space="preserve"> -</v>
      </c>
      <c r="I55" s="185"/>
      <c r="J55" s="185"/>
      <c r="K55" s="185"/>
      <c r="L55" s="185"/>
      <c r="M55" s="185"/>
      <c r="N55" s="186"/>
      <c r="O55" s="185" t="str" cm="1">
        <f t="array" ref="O55">IFERROR(INDEX('Base de Dados'!$A$3:$C$4991,SMALL(IF('Base de Dados'!$C$3:$C$4991=$B$48,ROW('Base de Dados'!$C$3:$C$4991)-2),ROW(A45)),1)," -")</f>
        <v xml:space="preserve"> -</v>
      </c>
      <c r="P55" s="185"/>
      <c r="Q55" s="185"/>
      <c r="R55" s="185"/>
      <c r="S55" s="185"/>
      <c r="T55" s="185"/>
      <c r="U55" s="186"/>
      <c r="V55" s="185" t="str" cm="1">
        <f t="array" ref="V55">IFERROR(INDEX('Base de Dados'!$A$3:$C$4991,SMALL(IF('Base de Dados'!$C$3:$C$4991=$B$48,ROW('Base de Dados'!$C$3:$C$4991)-2),ROW(A65)),1)," -")</f>
        <v xml:space="preserve"> -</v>
      </c>
      <c r="W55" s="185"/>
      <c r="X55" s="185"/>
      <c r="Y55" s="185"/>
      <c r="Z55" s="185"/>
      <c r="AA55" s="185"/>
      <c r="AB55" s="186"/>
    </row>
    <row r="56" spans="1:28" x14ac:dyDescent="0.25">
      <c r="A56" s="204" t="str" cm="1">
        <f t="array" ref="A56">IFERROR(INDEX('Base de Dados'!$A$3:$C$4991,SMALL(IF('Base de Dados'!$C$3:$C$4991=$B$48,ROW('Base de Dados'!$C$3:$C$4991)-2),ROW(A6)),1)," -")</f>
        <v xml:space="preserve"> -</v>
      </c>
      <c r="B56" s="204"/>
      <c r="C56" s="204"/>
      <c r="D56" s="204"/>
      <c r="E56" s="204"/>
      <c r="F56" s="204"/>
      <c r="G56" s="205"/>
      <c r="H56" s="187" t="str" cm="1">
        <f t="array" ref="H56">IFERROR(INDEX('Base de Dados'!$A$3:$C$4991,SMALL(IF('Base de Dados'!$C$3:$C$4991=$B$48,ROW('Base de Dados'!$C$3:$C$4991)-2),ROW(A26)),1)," -")</f>
        <v xml:space="preserve"> -</v>
      </c>
      <c r="I56" s="185"/>
      <c r="J56" s="185"/>
      <c r="K56" s="185"/>
      <c r="L56" s="185"/>
      <c r="M56" s="185"/>
      <c r="N56" s="186"/>
      <c r="O56" s="185" t="str" cm="1">
        <f t="array" ref="O56">IFERROR(INDEX('Base de Dados'!$A$3:$C$4991,SMALL(IF('Base de Dados'!$C$3:$C$4991=$B$48,ROW('Base de Dados'!$C$3:$C$4991)-2),ROW(A46)),1)," -")</f>
        <v xml:space="preserve"> -</v>
      </c>
      <c r="P56" s="185"/>
      <c r="Q56" s="185"/>
      <c r="R56" s="185"/>
      <c r="S56" s="185"/>
      <c r="T56" s="185"/>
      <c r="U56" s="186"/>
      <c r="V56" s="185" t="str" cm="1">
        <f t="array" ref="V56">IFERROR(INDEX('Base de Dados'!$A$3:$C$4991,SMALL(IF('Base de Dados'!$C$3:$C$4991=$B$48,ROW('Base de Dados'!$C$3:$C$4991)-2),ROW(A66)),1)," -")</f>
        <v xml:space="preserve"> -</v>
      </c>
      <c r="W56" s="185"/>
      <c r="X56" s="185"/>
      <c r="Y56" s="185"/>
      <c r="Z56" s="185"/>
      <c r="AA56" s="185"/>
      <c r="AB56" s="186"/>
    </row>
    <row r="57" spans="1:28" x14ac:dyDescent="0.25">
      <c r="A57" s="204" t="str" cm="1">
        <f t="array" ref="A57">IFERROR(INDEX('Base de Dados'!$A$3:$C$4991,SMALL(IF('Base de Dados'!$C$3:$C$4991=$B$48,ROW('Base de Dados'!$C$3:$C$4991)-2),ROW(A7)),1)," -")</f>
        <v xml:space="preserve"> -</v>
      </c>
      <c r="B57" s="204"/>
      <c r="C57" s="204"/>
      <c r="D57" s="204"/>
      <c r="E57" s="204"/>
      <c r="F57" s="204"/>
      <c r="G57" s="205"/>
      <c r="H57" s="187" t="str" cm="1">
        <f t="array" ref="H57">IFERROR(INDEX('Base de Dados'!$A$3:$C$4991,SMALL(IF('Base de Dados'!$C$3:$C$4991=$B$48,ROW('Base de Dados'!$C$3:$C$4991)-2),ROW(A27)),1)," -")</f>
        <v xml:space="preserve"> -</v>
      </c>
      <c r="I57" s="185"/>
      <c r="J57" s="185"/>
      <c r="K57" s="185"/>
      <c r="L57" s="185"/>
      <c r="M57" s="185"/>
      <c r="N57" s="186"/>
      <c r="O57" s="185" t="str" cm="1">
        <f t="array" ref="O57">IFERROR(INDEX('Base de Dados'!$A$3:$C$4991,SMALL(IF('Base de Dados'!$C$3:$C$4991=$B$48,ROW('Base de Dados'!$C$3:$C$4991)-2),ROW(A47)),1)," -")</f>
        <v xml:space="preserve"> -</v>
      </c>
      <c r="P57" s="185"/>
      <c r="Q57" s="185"/>
      <c r="R57" s="185"/>
      <c r="S57" s="185"/>
      <c r="T57" s="185"/>
      <c r="U57" s="186"/>
      <c r="V57" s="185" t="str" cm="1">
        <f t="array" ref="V57">IFERROR(INDEX('Base de Dados'!$A$3:$C$4991,SMALL(IF('Base de Dados'!$C$3:$C$4991=$B$48,ROW('Base de Dados'!$C$3:$C$4991)-2),ROW(A67)),1)," -")</f>
        <v xml:space="preserve"> -</v>
      </c>
      <c r="W57" s="185"/>
      <c r="X57" s="185"/>
      <c r="Y57" s="185"/>
      <c r="Z57" s="185"/>
      <c r="AA57" s="185"/>
      <c r="AB57" s="186"/>
    </row>
    <row r="58" spans="1:28" x14ac:dyDescent="0.25">
      <c r="A58" s="204" t="str" cm="1">
        <f t="array" ref="A58">IFERROR(INDEX('Base de Dados'!$A$3:$C$4991,SMALL(IF('Base de Dados'!$C$3:$C$4991=$B$48,ROW('Base de Dados'!$C$3:$C$4991)-2),ROW(A8)),1)," -")</f>
        <v xml:space="preserve"> -</v>
      </c>
      <c r="B58" s="204"/>
      <c r="C58" s="204"/>
      <c r="D58" s="204"/>
      <c r="E58" s="204"/>
      <c r="F58" s="204"/>
      <c r="G58" s="205"/>
      <c r="H58" s="187" t="str" cm="1">
        <f t="array" ref="H58">IFERROR(INDEX('Base de Dados'!$A$3:$C$4991,SMALL(IF('Base de Dados'!$C$3:$C$4991=$B$48,ROW('Base de Dados'!$C$3:$C$4991)-2),ROW(A28)),1)," -")</f>
        <v xml:space="preserve"> -</v>
      </c>
      <c r="I58" s="185"/>
      <c r="J58" s="185"/>
      <c r="K58" s="185"/>
      <c r="L58" s="185"/>
      <c r="M58" s="185"/>
      <c r="N58" s="186"/>
      <c r="O58" s="185" t="str" cm="1">
        <f t="array" ref="O58">IFERROR(INDEX('Base de Dados'!$A$3:$C$4991,SMALL(IF('Base de Dados'!$C$3:$C$4991=$B$48,ROW('Base de Dados'!$C$3:$C$4991)-2),ROW(A48)),1)," -")</f>
        <v xml:space="preserve"> -</v>
      </c>
      <c r="P58" s="185"/>
      <c r="Q58" s="185"/>
      <c r="R58" s="185"/>
      <c r="S58" s="185"/>
      <c r="T58" s="185"/>
      <c r="U58" s="186"/>
      <c r="V58" s="185" t="str" cm="1">
        <f t="array" ref="V58">IFERROR(INDEX('Base de Dados'!$A$3:$C$4991,SMALL(IF('Base de Dados'!$C$3:$C$4991=$B$48,ROW('Base de Dados'!$C$3:$C$4991)-2),ROW(A68)),1)," -")</f>
        <v xml:space="preserve"> -</v>
      </c>
      <c r="W58" s="185"/>
      <c r="X58" s="185"/>
      <c r="Y58" s="185"/>
      <c r="Z58" s="185"/>
      <c r="AA58" s="185"/>
      <c r="AB58" s="186"/>
    </row>
    <row r="59" spans="1:28" x14ac:dyDescent="0.25">
      <c r="A59" s="204" t="str" cm="1">
        <f t="array" ref="A59">IFERROR(INDEX('Base de Dados'!$A$3:$C$4991,SMALL(IF('Base de Dados'!$C$3:$C$4991=$B$48,ROW('Base de Dados'!$C$3:$C$4991)-2),ROW(A9)),1)," -")</f>
        <v xml:space="preserve"> -</v>
      </c>
      <c r="B59" s="204"/>
      <c r="C59" s="204"/>
      <c r="D59" s="204"/>
      <c r="E59" s="204"/>
      <c r="F59" s="204"/>
      <c r="G59" s="205"/>
      <c r="H59" s="187" t="str" cm="1">
        <f t="array" ref="H59">IFERROR(INDEX('Base de Dados'!$A$3:$C$4991,SMALL(IF('Base de Dados'!$C$3:$C$4991=$B$48,ROW('Base de Dados'!$C$3:$C$4991)-2),ROW(A29)),1)," -")</f>
        <v xml:space="preserve"> -</v>
      </c>
      <c r="I59" s="185"/>
      <c r="J59" s="185"/>
      <c r="K59" s="185"/>
      <c r="L59" s="185"/>
      <c r="M59" s="185"/>
      <c r="N59" s="186"/>
      <c r="O59" s="185" t="str" cm="1">
        <f t="array" ref="O59">IFERROR(INDEX('Base de Dados'!$A$3:$C$4991,SMALL(IF('Base de Dados'!$C$3:$C$4991=$B$48,ROW('Base de Dados'!$C$3:$C$4991)-2),ROW(A49)),1)," -")</f>
        <v xml:space="preserve"> -</v>
      </c>
      <c r="P59" s="185"/>
      <c r="Q59" s="185"/>
      <c r="R59" s="185"/>
      <c r="S59" s="185"/>
      <c r="T59" s="185"/>
      <c r="U59" s="186"/>
      <c r="V59" s="185" t="str" cm="1">
        <f t="array" ref="V59">IFERROR(INDEX('Base de Dados'!$A$3:$C$4991,SMALL(IF('Base de Dados'!$C$3:$C$4991=$B$48,ROW('Base de Dados'!$C$3:$C$4991)-2),ROW(A69)),1)," -")</f>
        <v xml:space="preserve"> -</v>
      </c>
      <c r="W59" s="185"/>
      <c r="X59" s="185"/>
      <c r="Y59" s="185"/>
      <c r="Z59" s="185"/>
      <c r="AA59" s="185"/>
      <c r="AB59" s="186"/>
    </row>
    <row r="60" spans="1:28" x14ac:dyDescent="0.25">
      <c r="A60" s="204" t="str" cm="1">
        <f t="array" ref="A60">IFERROR(INDEX('Base de Dados'!$A$3:$C$4991,SMALL(IF('Base de Dados'!$C$3:$C$4991=$B$48,ROW('Base de Dados'!$C$3:$C$4991)-2),ROW(A10)),1)," -")</f>
        <v xml:space="preserve"> -</v>
      </c>
      <c r="B60" s="204"/>
      <c r="C60" s="204"/>
      <c r="D60" s="204"/>
      <c r="E60" s="204"/>
      <c r="F60" s="204"/>
      <c r="G60" s="205"/>
      <c r="H60" s="187" t="str" cm="1">
        <f t="array" ref="H60">IFERROR(INDEX('Base de Dados'!$A$3:$C$4991,SMALL(IF('Base de Dados'!$C$3:$C$4991=$B$48,ROW('Base de Dados'!$C$3:$C$4991)-2),ROW(A30)),1)," -")</f>
        <v xml:space="preserve"> -</v>
      </c>
      <c r="I60" s="185"/>
      <c r="J60" s="185"/>
      <c r="K60" s="185"/>
      <c r="L60" s="185"/>
      <c r="M60" s="185"/>
      <c r="N60" s="186"/>
      <c r="O60" s="185" t="str" cm="1">
        <f t="array" ref="O60">IFERROR(INDEX('Base de Dados'!$A$3:$C$4991,SMALL(IF('Base de Dados'!$C$3:$C$4991=$B$48,ROW('Base de Dados'!$C$3:$C$4991)-2),ROW(A50)),1)," -")</f>
        <v xml:space="preserve"> -</v>
      </c>
      <c r="P60" s="185"/>
      <c r="Q60" s="185"/>
      <c r="R60" s="185"/>
      <c r="S60" s="185"/>
      <c r="T60" s="185"/>
      <c r="U60" s="186"/>
      <c r="V60" s="185" t="str" cm="1">
        <f t="array" ref="V60">IFERROR(INDEX('Base de Dados'!$A$3:$C$4991,SMALL(IF('Base de Dados'!$C$3:$C$4991=$B$48,ROW('Base de Dados'!$C$3:$C$4991)-2),ROW(A70)),1)," -")</f>
        <v xml:space="preserve"> -</v>
      </c>
      <c r="W60" s="185"/>
      <c r="X60" s="185"/>
      <c r="Y60" s="185"/>
      <c r="Z60" s="185"/>
      <c r="AA60" s="185"/>
      <c r="AB60" s="186"/>
    </row>
    <row r="61" spans="1:28" x14ac:dyDescent="0.25">
      <c r="A61" s="204" t="str" cm="1">
        <f t="array" ref="A61">IFERROR(INDEX('Base de Dados'!$A$3:$C$4991,SMALL(IF('Base de Dados'!$C$3:$C$4991=$B$48,ROW('Base de Dados'!$C$3:$C$4991)-2),ROW(A11)),1)," -")</f>
        <v xml:space="preserve"> -</v>
      </c>
      <c r="B61" s="204"/>
      <c r="C61" s="204"/>
      <c r="D61" s="204"/>
      <c r="E61" s="204"/>
      <c r="F61" s="204"/>
      <c r="G61" s="205"/>
      <c r="H61" s="187" t="str" cm="1">
        <f t="array" ref="H61">IFERROR(INDEX('Base de Dados'!$A$3:$C$4991,SMALL(IF('Base de Dados'!$C$3:$C$4991=$B$48,ROW('Base de Dados'!$C$3:$C$4991)-2),ROW(A31)),1)," -")</f>
        <v xml:space="preserve"> -</v>
      </c>
      <c r="I61" s="185"/>
      <c r="J61" s="185"/>
      <c r="K61" s="185"/>
      <c r="L61" s="185"/>
      <c r="M61" s="185"/>
      <c r="N61" s="186"/>
      <c r="O61" s="185" t="str" cm="1">
        <f t="array" ref="O61">IFERROR(INDEX('Base de Dados'!$A$3:$C$4991,SMALL(IF('Base de Dados'!$C$3:$C$4991=$B$48,ROW('Base de Dados'!$C$3:$C$4991)-2),ROW(A51)),1)," -")</f>
        <v xml:space="preserve"> -</v>
      </c>
      <c r="P61" s="185"/>
      <c r="Q61" s="185"/>
      <c r="R61" s="185"/>
      <c r="S61" s="185"/>
      <c r="T61" s="185"/>
      <c r="U61" s="186"/>
      <c r="V61" s="185" t="str" cm="1">
        <f t="array" ref="V61">IFERROR(INDEX('Base de Dados'!$A$3:$C$4991,SMALL(IF('Base de Dados'!$C$3:$C$4991=$B$48,ROW('Base de Dados'!$C$3:$C$4991)-2),ROW(A71)),1)," -")</f>
        <v xml:space="preserve"> -</v>
      </c>
      <c r="W61" s="185"/>
      <c r="X61" s="185"/>
      <c r="Y61" s="185"/>
      <c r="Z61" s="185"/>
      <c r="AA61" s="185"/>
      <c r="AB61" s="186"/>
    </row>
    <row r="62" spans="1:28" x14ac:dyDescent="0.25">
      <c r="A62" s="204" t="str" cm="1">
        <f t="array" ref="A62">IFERROR(INDEX('Base de Dados'!$A$3:$C$4991,SMALL(IF('Base de Dados'!$C$3:$C$4991=$B$48,ROW('Base de Dados'!$C$3:$C$4991)-2),ROW(A12)),1)," -")</f>
        <v xml:space="preserve"> -</v>
      </c>
      <c r="B62" s="204"/>
      <c r="C62" s="204"/>
      <c r="D62" s="204"/>
      <c r="E62" s="204"/>
      <c r="F62" s="204"/>
      <c r="G62" s="205"/>
      <c r="H62" s="187" t="str" cm="1">
        <f t="array" ref="H62">IFERROR(INDEX('Base de Dados'!$A$3:$C$4991,SMALL(IF('Base de Dados'!$C$3:$C$4991=$B$48,ROW('Base de Dados'!$C$3:$C$4991)-2),ROW(A32)),1)," -")</f>
        <v xml:space="preserve"> -</v>
      </c>
      <c r="I62" s="185"/>
      <c r="J62" s="185"/>
      <c r="K62" s="185"/>
      <c r="L62" s="185"/>
      <c r="M62" s="185"/>
      <c r="N62" s="186"/>
      <c r="O62" s="185" t="str" cm="1">
        <f t="array" ref="O62">IFERROR(INDEX('Base de Dados'!$A$3:$C$4991,SMALL(IF('Base de Dados'!$C$3:$C$4991=$B$48,ROW('Base de Dados'!$C$3:$C$4991)-2),ROW(A52)),1)," -")</f>
        <v xml:space="preserve"> -</v>
      </c>
      <c r="P62" s="185"/>
      <c r="Q62" s="185"/>
      <c r="R62" s="185"/>
      <c r="S62" s="185"/>
      <c r="T62" s="185"/>
      <c r="U62" s="186"/>
      <c r="V62" s="185" t="str" cm="1">
        <f t="array" ref="V62">IFERROR(INDEX('Base de Dados'!$A$3:$C$4991,SMALL(IF('Base de Dados'!$C$3:$C$4991=$B$48,ROW('Base de Dados'!$C$3:$C$4991)-2),ROW(A72)),1)," -")</f>
        <v xml:space="preserve"> -</v>
      </c>
      <c r="W62" s="185"/>
      <c r="X62" s="185"/>
      <c r="Y62" s="185"/>
      <c r="Z62" s="185"/>
      <c r="AA62" s="185"/>
      <c r="AB62" s="186"/>
    </row>
    <row r="63" spans="1:28" x14ac:dyDescent="0.25">
      <c r="A63" s="204" t="str" cm="1">
        <f t="array" ref="A63">IFERROR(INDEX('Base de Dados'!$A$3:$C$4991,SMALL(IF('Base de Dados'!$C$3:$C$4991=$B$48,ROW('Base de Dados'!$C$3:$C$4991)-2),ROW(A13)),1)," -")</f>
        <v xml:space="preserve"> -</v>
      </c>
      <c r="B63" s="204"/>
      <c r="C63" s="204"/>
      <c r="D63" s="204"/>
      <c r="E63" s="204"/>
      <c r="F63" s="204"/>
      <c r="G63" s="205"/>
      <c r="H63" s="187" t="str" cm="1">
        <f t="array" ref="H63">IFERROR(INDEX('Base de Dados'!$A$3:$C$4991,SMALL(IF('Base de Dados'!$C$3:$C$4991=$B$48,ROW('Base de Dados'!$C$3:$C$4991)-2),ROW(A33)),1)," -")</f>
        <v xml:space="preserve"> -</v>
      </c>
      <c r="I63" s="185"/>
      <c r="J63" s="185"/>
      <c r="K63" s="185"/>
      <c r="L63" s="185"/>
      <c r="M63" s="185"/>
      <c r="N63" s="186"/>
      <c r="O63" s="185" t="str" cm="1">
        <f t="array" ref="O63">IFERROR(INDEX('Base de Dados'!$A$3:$C$4991,SMALL(IF('Base de Dados'!$C$3:$C$4991=$B$48,ROW('Base de Dados'!$C$3:$C$4991)-2),ROW(A53)),1)," -")</f>
        <v xml:space="preserve"> -</v>
      </c>
      <c r="P63" s="185"/>
      <c r="Q63" s="185"/>
      <c r="R63" s="185"/>
      <c r="S63" s="185"/>
      <c r="T63" s="185"/>
      <c r="U63" s="186"/>
      <c r="V63" s="185" t="str" cm="1">
        <f t="array" ref="V63">IFERROR(INDEX('Base de Dados'!$A$3:$C$4991,SMALL(IF('Base de Dados'!$C$3:$C$4991=$B$48,ROW('Base de Dados'!$C$3:$C$4991)-2),ROW(A73)),1)," -")</f>
        <v xml:space="preserve"> -</v>
      </c>
      <c r="W63" s="185"/>
      <c r="X63" s="185"/>
      <c r="Y63" s="185"/>
      <c r="Z63" s="185"/>
      <c r="AA63" s="185"/>
      <c r="AB63" s="186"/>
    </row>
    <row r="64" spans="1:28" x14ac:dyDescent="0.25">
      <c r="A64" s="204" t="str" cm="1">
        <f t="array" ref="A64">IFERROR(INDEX('Base de Dados'!$A$3:$C$4991,SMALL(IF('Base de Dados'!$C$3:$C$4991=$B$48,ROW('Base de Dados'!$C$3:$C$4991)-2),ROW(A14)),1)," -")</f>
        <v xml:space="preserve"> -</v>
      </c>
      <c r="B64" s="204"/>
      <c r="C64" s="204"/>
      <c r="D64" s="204"/>
      <c r="E64" s="204"/>
      <c r="F64" s="204"/>
      <c r="G64" s="205"/>
      <c r="H64" s="187" t="str" cm="1">
        <f t="array" ref="H64">IFERROR(INDEX('Base de Dados'!$A$3:$C$4991,SMALL(IF('Base de Dados'!$C$3:$C$4991=$B$48,ROW('Base de Dados'!$C$3:$C$4991)-2),ROW(A34)),1)," -")</f>
        <v xml:space="preserve"> -</v>
      </c>
      <c r="I64" s="185"/>
      <c r="J64" s="185"/>
      <c r="K64" s="185"/>
      <c r="L64" s="185"/>
      <c r="M64" s="185"/>
      <c r="N64" s="186"/>
      <c r="O64" s="185" t="str" cm="1">
        <f t="array" ref="O64">IFERROR(INDEX('Base de Dados'!$A$3:$C$4991,SMALL(IF('Base de Dados'!$C$3:$C$4991=$B$48,ROW('Base de Dados'!$C$3:$C$4991)-2),ROW(A54)),1)," -")</f>
        <v xml:space="preserve"> -</v>
      </c>
      <c r="P64" s="185"/>
      <c r="Q64" s="185"/>
      <c r="R64" s="185"/>
      <c r="S64" s="185"/>
      <c r="T64" s="185"/>
      <c r="U64" s="186"/>
      <c r="V64" s="185" t="str" cm="1">
        <f t="array" ref="V64">IFERROR(INDEX('Base de Dados'!$A$3:$C$4991,SMALL(IF('Base de Dados'!$C$3:$C$4991=$B$48,ROW('Base de Dados'!$C$3:$C$4991)-2),ROW(A74)),1)," -")</f>
        <v xml:space="preserve"> -</v>
      </c>
      <c r="W64" s="185"/>
      <c r="X64" s="185"/>
      <c r="Y64" s="185"/>
      <c r="Z64" s="185"/>
      <c r="AA64" s="185"/>
      <c r="AB64" s="186"/>
    </row>
    <row r="65" spans="1:28" x14ac:dyDescent="0.25">
      <c r="A65" s="204" t="str" cm="1">
        <f t="array" ref="A65">IFERROR(INDEX('Base de Dados'!$A$3:$C$4991,SMALL(IF('Base de Dados'!$C$3:$C$4991=$B$48,ROW('Base de Dados'!$C$3:$C$4991)-2),ROW(A15)),1)," -")</f>
        <v xml:space="preserve"> -</v>
      </c>
      <c r="B65" s="204"/>
      <c r="C65" s="204"/>
      <c r="D65" s="204"/>
      <c r="E65" s="204"/>
      <c r="F65" s="204"/>
      <c r="G65" s="205"/>
      <c r="H65" s="187" t="str" cm="1">
        <f t="array" ref="H65">IFERROR(INDEX('Base de Dados'!$A$3:$C$4991,SMALL(IF('Base de Dados'!$C$3:$C$4991=$B$48,ROW('Base de Dados'!$C$3:$C$4991)-2),ROW(A35)),1)," -")</f>
        <v xml:space="preserve"> -</v>
      </c>
      <c r="I65" s="185"/>
      <c r="J65" s="185"/>
      <c r="K65" s="185"/>
      <c r="L65" s="185"/>
      <c r="M65" s="185"/>
      <c r="N65" s="186"/>
      <c r="O65" s="185" t="str" cm="1">
        <f t="array" ref="O65">IFERROR(INDEX('Base de Dados'!$A$3:$C$4991,SMALL(IF('Base de Dados'!$C$3:$C$4991=$B$48,ROW('Base de Dados'!$C$3:$C$4991)-2),ROW(A55)),1)," -")</f>
        <v xml:space="preserve"> -</v>
      </c>
      <c r="P65" s="185"/>
      <c r="Q65" s="185"/>
      <c r="R65" s="185"/>
      <c r="S65" s="185"/>
      <c r="T65" s="185"/>
      <c r="U65" s="186"/>
      <c r="V65" s="185" t="str" cm="1">
        <f t="array" ref="V65">IFERROR(INDEX('Base de Dados'!$A$3:$C$4991,SMALL(IF('Base de Dados'!$C$3:$C$4991=$B$48,ROW('Base de Dados'!$C$3:$C$4991)-2),ROW(A75)),1)," -")</f>
        <v xml:space="preserve"> -</v>
      </c>
      <c r="W65" s="185"/>
      <c r="X65" s="185"/>
      <c r="Y65" s="185"/>
      <c r="Z65" s="185"/>
      <c r="AA65" s="185"/>
      <c r="AB65" s="186"/>
    </row>
    <row r="66" spans="1:28" x14ac:dyDescent="0.25">
      <c r="A66" s="204" t="str" cm="1">
        <f t="array" ref="A66">IFERROR(INDEX('Base de Dados'!$A$3:$C$4991,SMALL(IF('Base de Dados'!$C$3:$C$4991=$B$48,ROW('Base de Dados'!$C$3:$C$4991)-2),ROW(A16)),1)," -")</f>
        <v xml:space="preserve"> -</v>
      </c>
      <c r="B66" s="204"/>
      <c r="C66" s="204"/>
      <c r="D66" s="204"/>
      <c r="E66" s="204"/>
      <c r="F66" s="204"/>
      <c r="G66" s="205"/>
      <c r="H66" s="187" t="str" cm="1">
        <f t="array" ref="H66">IFERROR(INDEX('Base de Dados'!$A$3:$C$4991,SMALL(IF('Base de Dados'!$C$3:$C$4991=$B$48,ROW('Base de Dados'!$C$3:$C$4991)-2),ROW(A36)),1)," -")</f>
        <v xml:space="preserve"> -</v>
      </c>
      <c r="I66" s="185"/>
      <c r="J66" s="185"/>
      <c r="K66" s="185"/>
      <c r="L66" s="185"/>
      <c r="M66" s="185"/>
      <c r="N66" s="186"/>
      <c r="O66" s="185" t="str" cm="1">
        <f t="array" ref="O66">IFERROR(INDEX('Base de Dados'!$A$3:$C$4991,SMALL(IF('Base de Dados'!$C$3:$C$4991=$B$48,ROW('Base de Dados'!$C$3:$C$4991)-2),ROW(A56)),1)," -")</f>
        <v xml:space="preserve"> -</v>
      </c>
      <c r="P66" s="185"/>
      <c r="Q66" s="185"/>
      <c r="R66" s="185"/>
      <c r="S66" s="185"/>
      <c r="T66" s="185"/>
      <c r="U66" s="186"/>
      <c r="V66" s="185" t="str" cm="1">
        <f t="array" ref="V66">IFERROR(INDEX('Base de Dados'!$A$3:$C$4991,SMALL(IF('Base de Dados'!$C$3:$C$4991=$B$48,ROW('Base de Dados'!$C$3:$C$4991)-2),ROW(A76)),1)," -")</f>
        <v xml:space="preserve"> -</v>
      </c>
      <c r="W66" s="185"/>
      <c r="X66" s="185"/>
      <c r="Y66" s="185"/>
      <c r="Z66" s="185"/>
      <c r="AA66" s="185"/>
      <c r="AB66" s="186"/>
    </row>
    <row r="67" spans="1:28" x14ac:dyDescent="0.25">
      <c r="A67" s="204" t="str" cm="1">
        <f t="array" ref="A67">IFERROR(INDEX('Base de Dados'!$A$3:$C$4991,SMALL(IF('Base de Dados'!$C$3:$C$4991=$B$48,ROW('Base de Dados'!$C$3:$C$4991)-2),ROW(A17)),1)," -")</f>
        <v xml:space="preserve"> -</v>
      </c>
      <c r="B67" s="204"/>
      <c r="C67" s="204"/>
      <c r="D67" s="204"/>
      <c r="E67" s="204"/>
      <c r="F67" s="204"/>
      <c r="G67" s="205"/>
      <c r="H67" s="187" t="str" cm="1">
        <f t="array" ref="H67">IFERROR(INDEX('Base de Dados'!$A$3:$C$4991,SMALL(IF('Base de Dados'!$C$3:$C$4991=$B$48,ROW('Base de Dados'!$C$3:$C$4991)-2),ROW(A37)),1)," -")</f>
        <v xml:space="preserve"> -</v>
      </c>
      <c r="I67" s="185"/>
      <c r="J67" s="185"/>
      <c r="K67" s="185"/>
      <c r="L67" s="185"/>
      <c r="M67" s="185"/>
      <c r="N67" s="186"/>
      <c r="O67" s="185" t="str" cm="1">
        <f t="array" ref="O67">IFERROR(INDEX('Base de Dados'!$A$3:$C$4991,SMALL(IF('Base de Dados'!$C$3:$C$4991=$B$48,ROW('Base de Dados'!$C$3:$C$4991)-2),ROW(A57)),1)," -")</f>
        <v xml:space="preserve"> -</v>
      </c>
      <c r="P67" s="185"/>
      <c r="Q67" s="185"/>
      <c r="R67" s="185"/>
      <c r="S67" s="185"/>
      <c r="T67" s="185"/>
      <c r="U67" s="186"/>
      <c r="V67" s="185" t="str" cm="1">
        <f t="array" ref="V67">IFERROR(INDEX('Base de Dados'!$A$3:$C$4991,SMALL(IF('Base de Dados'!$C$3:$C$4991=$B$48,ROW('Base de Dados'!$C$3:$C$4991)-2),ROW(A77)),1)," -")</f>
        <v xml:space="preserve"> -</v>
      </c>
      <c r="W67" s="185"/>
      <c r="X67" s="185"/>
      <c r="Y67" s="185"/>
      <c r="Z67" s="185"/>
      <c r="AA67" s="185"/>
      <c r="AB67" s="186"/>
    </row>
    <row r="68" spans="1:28" x14ac:dyDescent="0.25">
      <c r="A68" s="204" t="str" cm="1">
        <f t="array" ref="A68">IFERROR(INDEX('Base de Dados'!$A$3:$C$4991,SMALL(IF('Base de Dados'!$C$3:$C$4991=$B$48,ROW('Base de Dados'!$C$3:$C$4991)-2),ROW(A18)),1)," -")</f>
        <v xml:space="preserve"> -</v>
      </c>
      <c r="B68" s="204"/>
      <c r="C68" s="204"/>
      <c r="D68" s="204"/>
      <c r="E68" s="204"/>
      <c r="F68" s="204"/>
      <c r="G68" s="205"/>
      <c r="H68" s="187" t="str" cm="1">
        <f t="array" ref="H68">IFERROR(INDEX('Base de Dados'!$A$3:$C$4991,SMALL(IF('Base de Dados'!$C$3:$C$4991=$B$48,ROW('Base de Dados'!$C$3:$C$4991)-2),ROW(A38)),1)," -")</f>
        <v xml:space="preserve"> -</v>
      </c>
      <c r="I68" s="185"/>
      <c r="J68" s="185"/>
      <c r="K68" s="185"/>
      <c r="L68" s="185"/>
      <c r="M68" s="185"/>
      <c r="N68" s="186"/>
      <c r="O68" s="185" t="str" cm="1">
        <f t="array" ref="O68">IFERROR(INDEX('Base de Dados'!$A$3:$C$4991,SMALL(IF('Base de Dados'!$C$3:$C$4991=$B$48,ROW('Base de Dados'!$C$3:$C$4991)-2),ROW(A58)),1)," -")</f>
        <v xml:space="preserve"> -</v>
      </c>
      <c r="P68" s="185"/>
      <c r="Q68" s="185"/>
      <c r="R68" s="185"/>
      <c r="S68" s="185"/>
      <c r="T68" s="185"/>
      <c r="U68" s="186"/>
      <c r="V68" s="185" t="str" cm="1">
        <f t="array" ref="V68">IFERROR(INDEX('Base de Dados'!$A$3:$C$4991,SMALL(IF('Base de Dados'!$C$3:$C$4991=$B$48,ROW('Base de Dados'!$C$3:$C$4991)-2),ROW(A78)),1)," -")</f>
        <v xml:space="preserve"> -</v>
      </c>
      <c r="W68" s="185"/>
      <c r="X68" s="185"/>
      <c r="Y68" s="185"/>
      <c r="Z68" s="185"/>
      <c r="AA68" s="185"/>
      <c r="AB68" s="186"/>
    </row>
    <row r="69" spans="1:28" x14ac:dyDescent="0.25">
      <c r="A69" s="204" t="str" cm="1">
        <f t="array" ref="A69">IFERROR(INDEX('Base de Dados'!$A$3:$C$4991,SMALL(IF('Base de Dados'!$C$3:$C$4991=$B$48,ROW('Base de Dados'!$C$3:$C$4991)-2),ROW(A19)),1)," -")</f>
        <v xml:space="preserve"> -</v>
      </c>
      <c r="B69" s="204"/>
      <c r="C69" s="204"/>
      <c r="D69" s="204"/>
      <c r="E69" s="204"/>
      <c r="F69" s="204"/>
      <c r="G69" s="205"/>
      <c r="H69" s="187" t="str" cm="1">
        <f t="array" ref="H69">IFERROR(INDEX('Base de Dados'!$A$3:$C$4991,SMALL(IF('Base de Dados'!$C$3:$C$4991=$B$48,ROW('Base de Dados'!$C$3:$C$4991)-2),ROW(A39)),1)," -")</f>
        <v xml:space="preserve"> -</v>
      </c>
      <c r="I69" s="185"/>
      <c r="J69" s="185"/>
      <c r="K69" s="185"/>
      <c r="L69" s="185"/>
      <c r="M69" s="185"/>
      <c r="N69" s="186"/>
      <c r="O69" s="185" t="str" cm="1">
        <f t="array" ref="O69">IFERROR(INDEX('Base de Dados'!$A$3:$C$4991,SMALL(IF('Base de Dados'!$C$3:$C$4991=$B$48,ROW('Base de Dados'!$C$3:$C$4991)-2),ROW(A59)),1)," -")</f>
        <v xml:space="preserve"> -</v>
      </c>
      <c r="P69" s="185"/>
      <c r="Q69" s="185"/>
      <c r="R69" s="185"/>
      <c r="S69" s="185"/>
      <c r="T69" s="185"/>
      <c r="U69" s="186"/>
      <c r="V69" s="185" t="str" cm="1">
        <f t="array" ref="V69">IFERROR(INDEX('Base de Dados'!$A$3:$C$4991,SMALL(IF('Base de Dados'!$C$3:$C$4991=$B$48,ROW('Base de Dados'!$C$3:$C$4991)-2),ROW(A79)),1)," -")</f>
        <v xml:space="preserve"> -</v>
      </c>
      <c r="W69" s="185"/>
      <c r="X69" s="185"/>
      <c r="Y69" s="185"/>
      <c r="Z69" s="185"/>
      <c r="AA69" s="185"/>
      <c r="AB69" s="186"/>
    </row>
    <row r="70" spans="1:28" x14ac:dyDescent="0.25">
      <c r="A70" s="204" t="str" cm="1">
        <f t="array" ref="A70">IFERROR(INDEX('Base de Dados'!$A$3:$C$4991,SMALL(IF('Base de Dados'!$C$3:$C$4991=$B$48,ROW('Base de Dados'!$C$3:$C$4991)-2),ROW(A20)),1)," -")</f>
        <v xml:space="preserve"> -</v>
      </c>
      <c r="B70" s="204"/>
      <c r="C70" s="204"/>
      <c r="D70" s="204"/>
      <c r="E70" s="204"/>
      <c r="F70" s="204"/>
      <c r="G70" s="205"/>
      <c r="H70" s="187" t="str" cm="1">
        <f t="array" ref="H70">IFERROR(INDEX('Base de Dados'!$A$3:$C$4991,SMALL(IF('Base de Dados'!$C$3:$C$4991=$B$48,ROW('Base de Dados'!$C$3:$C$4991)-2),ROW(A40)),1)," -")</f>
        <v xml:space="preserve"> -</v>
      </c>
      <c r="I70" s="185"/>
      <c r="J70" s="185"/>
      <c r="K70" s="185"/>
      <c r="L70" s="185"/>
      <c r="M70" s="185"/>
      <c r="N70" s="186"/>
      <c r="O70" s="185" t="str" cm="1">
        <f t="array" ref="O70">IFERROR(INDEX('Base de Dados'!$A$3:$C$4991,SMALL(IF('Base de Dados'!$C$3:$C$4991=$B$48,ROW('Base de Dados'!$C$3:$C$4991)-2),ROW(A60)),1)," -")</f>
        <v xml:space="preserve"> -</v>
      </c>
      <c r="P70" s="185"/>
      <c r="Q70" s="185"/>
      <c r="R70" s="185"/>
      <c r="S70" s="185"/>
      <c r="T70" s="185"/>
      <c r="U70" s="186"/>
      <c r="V70" s="185" t="str" cm="1">
        <f t="array" ref="V70">IFERROR(INDEX('Base de Dados'!$A$3:$C$4991,SMALL(IF('Base de Dados'!$C$3:$C$4991=$B$48,ROW('Base de Dados'!$C$3:$C$4991)-2),ROW(A80)),1)," -")</f>
        <v xml:space="preserve"> -</v>
      </c>
      <c r="W70" s="185"/>
      <c r="X70" s="185"/>
      <c r="Y70" s="185"/>
      <c r="Z70" s="185"/>
      <c r="AA70" s="185"/>
      <c r="AB70" s="186"/>
    </row>
    <row r="72" spans="1:28" ht="18.75" x14ac:dyDescent="0.3">
      <c r="A72" s="190" t="s">
        <v>732</v>
      </c>
      <c r="B72" s="191"/>
      <c r="C72" s="191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</row>
    <row r="73" spans="1:28" ht="21" x14ac:dyDescent="0.35">
      <c r="A73" s="24" t="s">
        <v>733</v>
      </c>
      <c r="B73" s="211" t="s">
        <v>30</v>
      </c>
      <c r="C73" s="212"/>
      <c r="D73" s="212"/>
      <c r="E73" s="212"/>
      <c r="F73" s="212"/>
      <c r="G73" s="213"/>
      <c r="H73" s="23"/>
      <c r="I73" s="167" t="s">
        <v>734</v>
      </c>
      <c r="J73" s="168"/>
      <c r="K73" s="168"/>
      <c r="L73" s="169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188" t="s">
        <v>728</v>
      </c>
      <c r="B75" s="189"/>
      <c r="C75" s="189"/>
      <c r="D75" s="189"/>
      <c r="E75" s="189"/>
      <c r="F75" s="189"/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  <c r="R75" s="189"/>
      <c r="S75" s="189"/>
      <c r="T75" s="189"/>
      <c r="U75" s="189"/>
      <c r="V75" s="189"/>
      <c r="W75" s="189"/>
      <c r="X75" s="189"/>
      <c r="Y75" s="189"/>
      <c r="Z75" s="189"/>
      <c r="AA75" s="189"/>
      <c r="AB75" s="189"/>
    </row>
    <row r="76" spans="1:28" x14ac:dyDescent="0.25">
      <c r="A76" s="195" t="str" cm="1">
        <f t="array" ref="A76">IFERROR(INDEX('Base de Dados'!$A$3:$M$4991,SMALL(IF('Base de Dados'!$M$3:$M$4991=$B$73,ROW('Base de Dados'!$M$3:$M$4991)-2),ROW(A1)),1),"-")</f>
        <v>Excel Avançado</v>
      </c>
      <c r="B76" s="195"/>
      <c r="C76" s="195"/>
      <c r="D76" s="195"/>
      <c r="E76" s="195"/>
      <c r="F76" s="195"/>
      <c r="G76" s="196"/>
      <c r="H76" s="199" t="str" cm="1">
        <f t="array" ref="H76">IFERROR(INDEX('Base de Dados'!$A$3:$M$4991,SMALL(IF('Base de Dados'!$M$3:$M$4991=$B$73,ROW('Base de Dados'!$M$3:$M$4991)-2),ROW(A21)),1),"-")</f>
        <v>Não Espere Pelo Epitáfio!</v>
      </c>
      <c r="I76" s="199"/>
      <c r="J76" s="199"/>
      <c r="K76" s="199"/>
      <c r="L76" s="199"/>
      <c r="M76" s="199"/>
      <c r="N76" s="199"/>
      <c r="O76" s="198" t="str" cm="1">
        <f t="array" ref="O76">IFERROR(INDEX('Base de Dados'!$A$3:$M$4991,SMALL(IF('Base de Dados'!$M$3:$M$4991=$B$73,ROW('Base de Dados'!$M$3:$M$4991)-2),ROW(A41)),1),"-")</f>
        <v>Português Prático</v>
      </c>
      <c r="P76" s="199"/>
      <c r="Q76" s="199"/>
      <c r="R76" s="199"/>
      <c r="S76" s="199"/>
      <c r="T76" s="199"/>
      <c r="U76" s="200"/>
      <c r="V76" s="185" t="str" cm="1">
        <f t="array" ref="V76">IFERROR(INDEX('Base de Dados'!$A$3:$C$4991,SMALL(IF('Base de Dados'!$C$3:$C$4991=$B$48,ROW('Base de Dados'!$C$3:$C$4991)-2),ROW(A61)),1)," -")</f>
        <v xml:space="preserve"> -</v>
      </c>
      <c r="W76" s="185"/>
      <c r="X76" s="185"/>
      <c r="Y76" s="185"/>
      <c r="Z76" s="185"/>
      <c r="AA76" s="185"/>
      <c r="AB76" s="186"/>
    </row>
    <row r="77" spans="1:28" x14ac:dyDescent="0.25">
      <c r="A77" s="195" t="str" cm="1">
        <f t="array" ref="A77">IFERROR(INDEX('Base de Dados'!$A$3:$M$4991,SMALL(IF('Base de Dados'!$M$3:$M$4991=$B$73,ROW('Base de Dados'!$M$3:$M$4991)-2),ROW(A2)),1),"-")</f>
        <v>Constituição</v>
      </c>
      <c r="B77" s="195"/>
      <c r="C77" s="195"/>
      <c r="D77" s="195"/>
      <c r="E77" s="195"/>
      <c r="F77" s="195"/>
      <c r="G77" s="196"/>
      <c r="H77" s="199" t="str" cm="1">
        <f t="array" ref="H77">IFERROR(INDEX('Base de Dados'!$A$3:$M$4991,SMALL(IF('Base de Dados'!$M$3:$M$4991=$B$73,ROW('Base de Dados'!$M$3:$M$4991)-2),ROW(A22)),1),"-")</f>
        <v>Não Nascemos Prontos!</v>
      </c>
      <c r="I77" s="199"/>
      <c r="J77" s="199"/>
      <c r="K77" s="199"/>
      <c r="L77" s="199"/>
      <c r="M77" s="199"/>
      <c r="N77" s="199"/>
      <c r="O77" s="198" t="str" cm="1">
        <f t="array" ref="O77">IFERROR(INDEX('Base de Dados'!$A$3:$M$4991,SMALL(IF('Base de Dados'!$M$3:$M$4991=$B$73,ROW('Base de Dados'!$M$3:$M$4991)-2),ROW(A42)),1),"-")</f>
        <v>Química (Ensino Médio)</v>
      </c>
      <c r="P77" s="199"/>
      <c r="Q77" s="199"/>
      <c r="R77" s="199"/>
      <c r="S77" s="199"/>
      <c r="T77" s="199"/>
      <c r="U77" s="200"/>
      <c r="V77" s="185" t="str" cm="1">
        <f t="array" ref="V77">IFERROR(INDEX('Base de Dados'!$A$3:$C$4991,SMALL(IF('Base de Dados'!$C$3:$C$4991=$B$48,ROW('Base de Dados'!$C$3:$C$4991)-2),ROW(A62)),1)," -")</f>
        <v xml:space="preserve"> -</v>
      </c>
      <c r="W77" s="185"/>
      <c r="X77" s="185"/>
      <c r="Y77" s="185"/>
      <c r="Z77" s="185"/>
      <c r="AA77" s="185"/>
      <c r="AB77" s="186"/>
    </row>
    <row r="78" spans="1:28" x14ac:dyDescent="0.25">
      <c r="A78" s="195" t="str" cm="1">
        <f t="array" ref="A78">IFERROR(INDEX('Base de Dados'!$A$3:$M$4991,SMALL(IF('Base de Dados'!$M$3:$M$4991=$B$73,ROW('Base de Dados'!$M$3:$M$4991)-2),ROW(A3)),1),"-")</f>
        <v>Noções Essenciais de Direito</v>
      </c>
      <c r="B78" s="195"/>
      <c r="C78" s="195"/>
      <c r="D78" s="195"/>
      <c r="E78" s="195"/>
      <c r="F78" s="195"/>
      <c r="G78" s="196"/>
      <c r="H78" s="199" t="str" cm="1">
        <f t="array" ref="H78">IFERROR(INDEX('Base de Dados'!$A$3:$M$4991,SMALL(IF('Base de Dados'!$M$3:$M$4991=$B$73,ROW('Base de Dados'!$M$3:$M$4991)-2),ROW(A23)),1),"-")</f>
        <v>Filhos Brilhantes, Alunos Fascinantes</v>
      </c>
      <c r="I78" s="199"/>
      <c r="J78" s="199"/>
      <c r="K78" s="199"/>
      <c r="L78" s="199"/>
      <c r="M78" s="199"/>
      <c r="N78" s="199"/>
      <c r="O78" s="198" t="str" cm="1">
        <f t="array" ref="O78">IFERROR(INDEX('Base de Dados'!$A$3:$M$4991,SMALL(IF('Base de Dados'!$M$3:$M$4991=$B$73,ROW('Base de Dados'!$M$3:$M$4991)-2),ROW(A43)),1),"-")</f>
        <v>Teoria da Usinagem de Materiais</v>
      </c>
      <c r="P78" s="199"/>
      <c r="Q78" s="199"/>
      <c r="R78" s="199"/>
      <c r="S78" s="199"/>
      <c r="T78" s="199"/>
      <c r="U78" s="200"/>
      <c r="V78" s="185" t="str" cm="1">
        <f t="array" ref="V78">IFERROR(INDEX('Base de Dados'!$A$3:$C$4991,SMALL(IF('Base de Dados'!$C$3:$C$4991=$B$48,ROW('Base de Dados'!$C$3:$C$4991)-2),ROW(A63)),1)," -")</f>
        <v xml:space="preserve"> -</v>
      </c>
      <c r="W78" s="185"/>
      <c r="X78" s="185"/>
      <c r="Y78" s="185"/>
      <c r="Z78" s="185"/>
      <c r="AA78" s="185"/>
      <c r="AB78" s="186"/>
    </row>
    <row r="79" spans="1:28" x14ac:dyDescent="0.25">
      <c r="A79" s="195" t="str" cm="1">
        <f t="array" ref="A79">IFERROR(INDEX('Base de Dados'!$A$3:$M$4991,SMALL(IF('Base de Dados'!$M$3:$M$4991=$B$73,ROW('Base de Dados'!$M$3:$M$4991)-2),ROW(A4)),1),"-")</f>
        <v>Introdução à Economia Solidária</v>
      </c>
      <c r="B79" s="195"/>
      <c r="C79" s="195"/>
      <c r="D79" s="195"/>
      <c r="E79" s="195"/>
      <c r="F79" s="195"/>
      <c r="G79" s="196"/>
      <c r="H79" s="199" t="str" cm="1">
        <f t="array" ref="H79">IFERROR(INDEX('Base de Dados'!$A$3:$M$4991,SMALL(IF('Base de Dados'!$M$3:$M$4991=$B$73,ROW('Base de Dados'!$M$3:$M$4991)-2),ROW(A24)),1),"-")</f>
        <v>Feliz</v>
      </c>
      <c r="I79" s="199"/>
      <c r="J79" s="199"/>
      <c r="K79" s="199"/>
      <c r="L79" s="199"/>
      <c r="M79" s="199"/>
      <c r="N79" s="199"/>
      <c r="O79" s="198" t="str" cm="1">
        <f t="array" ref="O79">IFERROR(INDEX('Base de Dados'!$A$3:$M$4991,SMALL(IF('Base de Dados'!$M$3:$M$4991=$B$73,ROW('Base de Dados'!$M$3:$M$4991)-2),ROW(A44)),1),"-")</f>
        <v>Elementos de Eletrônica Digital</v>
      </c>
      <c r="P79" s="199"/>
      <c r="Q79" s="199"/>
      <c r="R79" s="199"/>
      <c r="S79" s="199"/>
      <c r="T79" s="199"/>
      <c r="U79" s="200"/>
      <c r="V79" s="185" t="str" cm="1">
        <f t="array" ref="V79">IFERROR(INDEX('Base de Dados'!$A$3:$C$4991,SMALL(IF('Base de Dados'!$C$3:$C$4991=$B$48,ROW('Base de Dados'!$C$3:$C$4991)-2),ROW(A64)),1)," -")</f>
        <v xml:space="preserve"> -</v>
      </c>
      <c r="W79" s="185"/>
      <c r="X79" s="185"/>
      <c r="Y79" s="185"/>
      <c r="Z79" s="185"/>
      <c r="AA79" s="185"/>
      <c r="AB79" s="186"/>
    </row>
    <row r="80" spans="1:28" x14ac:dyDescent="0.25">
      <c r="A80" s="195" t="str" cm="1">
        <f t="array" ref="A80">IFERROR(INDEX('Base de Dados'!$A$3:$M$4991,SMALL(IF('Base de Dados'!$M$3:$M$4991=$B$73,ROW('Base de Dados'!$M$3:$M$4991)-2),ROW(A5)),1),"-")</f>
        <v>Antologia Poética</v>
      </c>
      <c r="B80" s="195"/>
      <c r="C80" s="195"/>
      <c r="D80" s="195"/>
      <c r="E80" s="195"/>
      <c r="F80" s="195"/>
      <c r="G80" s="196"/>
      <c r="H80" s="199" t="str" cm="1">
        <f t="array" ref="H80">IFERROR(INDEX('Base de Dados'!$A$3:$M$4991,SMALL(IF('Base de Dados'!$M$3:$M$4991=$B$73,ROW('Base de Dados'!$M$3:$M$4991)-2),ROW(A25)),1),"-")</f>
        <v>História do Brasil</v>
      </c>
      <c r="I80" s="199"/>
      <c r="J80" s="199"/>
      <c r="K80" s="199"/>
      <c r="L80" s="199"/>
      <c r="M80" s="199"/>
      <c r="N80" s="199"/>
      <c r="O80" s="198" t="str" cm="1">
        <f t="array" ref="O80">IFERROR(INDEX('Base de Dados'!$A$3:$M$4991,SMALL(IF('Base de Dados'!$M$3:$M$4991=$B$73,ROW('Base de Dados'!$M$3:$M$4991)-2),ROW(A45)),1),"-")</f>
        <v>11º Congresso de Iniciação Científica</v>
      </c>
      <c r="P80" s="199"/>
      <c r="Q80" s="199"/>
      <c r="R80" s="199"/>
      <c r="S80" s="199"/>
      <c r="T80" s="199"/>
      <c r="U80" s="200"/>
      <c r="V80" s="185" t="str" cm="1">
        <f t="array" ref="V80">IFERROR(INDEX('Base de Dados'!$A$3:$C$4991,SMALL(IF('Base de Dados'!$C$3:$C$4991=$B$48,ROW('Base de Dados'!$C$3:$C$4991)-2),ROW(A65)),1)," -")</f>
        <v xml:space="preserve"> -</v>
      </c>
      <c r="W80" s="185"/>
      <c r="X80" s="185"/>
      <c r="Y80" s="185"/>
      <c r="Z80" s="185"/>
      <c r="AA80" s="185"/>
      <c r="AB80" s="186"/>
    </row>
    <row r="81" spans="1:28" x14ac:dyDescent="0.25">
      <c r="A81" s="195" t="str" cm="1">
        <f t="array" ref="A81">IFERROR(INDEX('Base de Dados'!$A$3:$M$4991,SMALL(IF('Base de Dados'!$M$3:$M$4991=$B$73,ROW('Base de Dados'!$M$3:$M$4991)-2),ROW(A6)),1),"-")</f>
        <v>Castelos de Marzipã</v>
      </c>
      <c r="B81" s="195"/>
      <c r="C81" s="195"/>
      <c r="D81" s="195"/>
      <c r="E81" s="195"/>
      <c r="F81" s="195"/>
      <c r="G81" s="196"/>
      <c r="H81" s="199" t="str" cm="1">
        <f t="array" ref="H81">IFERROR(INDEX('Base de Dados'!$A$3:$M$4991,SMALL(IF('Base de Dados'!$M$3:$M$4991=$B$73,ROW('Base de Dados'!$M$3:$M$4991)-2),ROW(A26)),1),"-")</f>
        <v>A Bíblia do Caos</v>
      </c>
      <c r="I81" s="199"/>
      <c r="J81" s="199"/>
      <c r="K81" s="199"/>
      <c r="L81" s="199"/>
      <c r="M81" s="199"/>
      <c r="N81" s="199"/>
      <c r="O81" s="198" t="str" cm="1">
        <f t="array" ref="O81">IFERROR(INDEX('Base de Dados'!$A$3:$M$4991,SMALL(IF('Base de Dados'!$M$3:$M$4991=$B$73,ROW('Base de Dados'!$M$3:$M$4991)-2),ROW(A46)),1),"-")</f>
        <v>Viva Natural</v>
      </c>
      <c r="P81" s="199"/>
      <c r="Q81" s="199"/>
      <c r="R81" s="199"/>
      <c r="S81" s="199"/>
      <c r="T81" s="199"/>
      <c r="U81" s="200"/>
      <c r="V81" s="185" t="str" cm="1">
        <f t="array" ref="V81">IFERROR(INDEX('Base de Dados'!$A$3:$C$4991,SMALL(IF('Base de Dados'!$C$3:$C$4991=$B$48,ROW('Base de Dados'!$C$3:$C$4991)-2),ROW(A66)),1)," -")</f>
        <v xml:space="preserve"> -</v>
      </c>
      <c r="W81" s="185"/>
      <c r="X81" s="185"/>
      <c r="Y81" s="185"/>
      <c r="Z81" s="185"/>
      <c r="AA81" s="185"/>
      <c r="AB81" s="186"/>
    </row>
    <row r="82" spans="1:28" x14ac:dyDescent="0.25">
      <c r="A82" s="195" t="str" cm="1">
        <f t="array" ref="A82">IFERROR(INDEX('Base de Dados'!$A$3:$M$4991,SMALL(IF('Base de Dados'!$M$3:$M$4991=$B$73,ROW('Base de Dados'!$M$3:$M$4991)-2),ROW(A7)),1),"-")</f>
        <v>Um Certo Jaques Netan</v>
      </c>
      <c r="B82" s="195"/>
      <c r="C82" s="195"/>
      <c r="D82" s="195"/>
      <c r="E82" s="195"/>
      <c r="F82" s="195"/>
      <c r="G82" s="196"/>
      <c r="H82" s="199" t="str" cm="1">
        <f t="array" ref="H82">IFERROR(INDEX('Base de Dados'!$A$3:$M$4991,SMALL(IF('Base de Dados'!$M$3:$M$4991=$B$73,ROW('Base de Dados'!$M$3:$M$4991)-2),ROW(A27)),1),"-")</f>
        <v>Manual de Administração Pessoal</v>
      </c>
      <c r="I82" s="199"/>
      <c r="J82" s="199"/>
      <c r="K82" s="199"/>
      <c r="L82" s="199"/>
      <c r="M82" s="199"/>
      <c r="N82" s="199"/>
      <c r="O82" s="198" t="str" cm="1">
        <f t="array" ref="O82">IFERROR(INDEX('Base de Dados'!$A$3:$M$4991,SMALL(IF('Base de Dados'!$M$3:$M$4991=$B$73,ROW('Base de Dados'!$M$3:$M$4991)-2),ROW(A47)),1),"-")</f>
        <v>Larousse Avançado - Inglês / Português</v>
      </c>
      <c r="P82" s="199"/>
      <c r="Q82" s="199"/>
      <c r="R82" s="199"/>
      <c r="S82" s="199"/>
      <c r="T82" s="199"/>
      <c r="U82" s="200"/>
      <c r="V82" s="185" t="str" cm="1">
        <f t="array" ref="V82">IFERROR(INDEX('Base de Dados'!$A$3:$C$4991,SMALL(IF('Base de Dados'!$C$3:$C$4991=$B$48,ROW('Base de Dados'!$C$3:$C$4991)-2),ROW(A67)),1)," -")</f>
        <v xml:space="preserve"> -</v>
      </c>
      <c r="W82" s="185"/>
      <c r="X82" s="185"/>
      <c r="Y82" s="185"/>
      <c r="Z82" s="185"/>
      <c r="AA82" s="185"/>
      <c r="AB82" s="186"/>
    </row>
    <row r="83" spans="1:28" x14ac:dyDescent="0.25">
      <c r="A83" s="195" t="str" cm="1">
        <f t="array" ref="A83">IFERROR(INDEX('Base de Dados'!$A$3:$M$4991,SMALL(IF('Base de Dados'!$M$3:$M$4991=$B$73,ROW('Base de Dados'!$M$3:$M$4991)-2),ROW(A8)),1),"-")</f>
        <v>O Cético</v>
      </c>
      <c r="B83" s="195"/>
      <c r="C83" s="195"/>
      <c r="D83" s="195"/>
      <c r="E83" s="195"/>
      <c r="F83" s="195"/>
      <c r="G83" s="196"/>
      <c r="H83" s="199" t="str" cm="1">
        <f t="array" ref="H83">IFERROR(INDEX('Base de Dados'!$A$3:$M$4991,SMALL(IF('Base de Dados'!$M$3:$M$4991=$B$73,ROW('Base de Dados'!$M$3:$M$4991)-2),ROW(A28)),1),"-")</f>
        <v>Plano de Marketing para Micro e Pequena Empresa</v>
      </c>
      <c r="I83" s="199"/>
      <c r="J83" s="199"/>
      <c r="K83" s="199"/>
      <c r="L83" s="199"/>
      <c r="M83" s="199"/>
      <c r="N83" s="199"/>
      <c r="O83" s="198" t="str" cm="1">
        <f t="array" ref="O83">IFERROR(INDEX('Base de Dados'!$A$3:$M$4991,SMALL(IF('Base de Dados'!$M$3:$M$4991=$B$73,ROW('Base de Dados'!$M$3:$M$4991)-2),ROW(A48)),1),"-")</f>
        <v>Larousse Mini - Francês / Português</v>
      </c>
      <c r="P83" s="199"/>
      <c r="Q83" s="199"/>
      <c r="R83" s="199"/>
      <c r="S83" s="199"/>
      <c r="T83" s="199"/>
      <c r="U83" s="200"/>
      <c r="V83" s="185" t="str" cm="1">
        <f t="array" ref="V83">IFERROR(INDEX('Base de Dados'!$A$3:$C$4991,SMALL(IF('Base de Dados'!$C$3:$C$4991=$B$48,ROW('Base de Dados'!$C$3:$C$4991)-2),ROW(A68)),1)," -")</f>
        <v xml:space="preserve"> -</v>
      </c>
      <c r="W83" s="185"/>
      <c r="X83" s="185"/>
      <c r="Y83" s="185"/>
      <c r="Z83" s="185"/>
      <c r="AA83" s="185"/>
      <c r="AB83" s="186"/>
    </row>
    <row r="84" spans="1:28" x14ac:dyDescent="0.25">
      <c r="A84" s="195" t="str" cm="1">
        <f t="array" ref="A84">IFERROR(INDEX('Base de Dados'!$A$3:$M$4991,SMALL(IF('Base de Dados'!$M$3:$M$4991=$B$73,ROW('Base de Dados'!$M$3:$M$4991)-2),ROW(A9)),1),"-")</f>
        <v>Esaú e Jacó</v>
      </c>
      <c r="B84" s="195"/>
      <c r="C84" s="195"/>
      <c r="D84" s="195"/>
      <c r="E84" s="195"/>
      <c r="F84" s="195"/>
      <c r="G84" s="196"/>
      <c r="H84" s="199" t="str" cm="1">
        <f t="array" ref="H84">IFERROR(INDEX('Base de Dados'!$A$3:$M$4991,SMALL(IF('Base de Dados'!$M$3:$M$4991=$B$73,ROW('Base de Dados'!$M$3:$M$4991)-2),ROW(A29)),1),"-")</f>
        <v>Prática Administrativas em Escritório</v>
      </c>
      <c r="I84" s="199"/>
      <c r="J84" s="199"/>
      <c r="K84" s="199"/>
      <c r="L84" s="199"/>
      <c r="M84" s="199"/>
      <c r="N84" s="199"/>
      <c r="O84" s="198" t="str" cm="1">
        <f t="array" ref="O84">IFERROR(INDEX('Base de Dados'!$A$3:$M$4991,SMALL(IF('Base de Dados'!$M$3:$M$4991=$B$73,ROW('Base de Dados'!$M$3:$M$4991)-2),ROW(A49)),1),"-")</f>
        <v>Minigramática</v>
      </c>
      <c r="P84" s="199"/>
      <c r="Q84" s="199"/>
      <c r="R84" s="199"/>
      <c r="S84" s="199"/>
      <c r="T84" s="199"/>
      <c r="U84" s="200"/>
      <c r="V84" s="185" t="str" cm="1">
        <f t="array" ref="V84">IFERROR(INDEX('Base de Dados'!$A$3:$C$4991,SMALL(IF('Base de Dados'!$C$3:$C$4991=$B$48,ROW('Base de Dados'!$C$3:$C$4991)-2),ROW(A69)),1)," -")</f>
        <v xml:space="preserve"> -</v>
      </c>
      <c r="W84" s="185"/>
      <c r="X84" s="185"/>
      <c r="Y84" s="185"/>
      <c r="Z84" s="185"/>
      <c r="AA84" s="185"/>
      <c r="AB84" s="186"/>
    </row>
    <row r="85" spans="1:28" x14ac:dyDescent="0.25">
      <c r="A85" s="195" t="str" cm="1">
        <f t="array" ref="A85">IFERROR(INDEX('Base de Dados'!$A$3:$M$4991,SMALL(IF('Base de Dados'!$M$3:$M$4991=$B$73,ROW('Base de Dados'!$M$3:$M$4991)-2),ROW(A10)),1),"-")</f>
        <v>Foi Assim</v>
      </c>
      <c r="B85" s="195"/>
      <c r="C85" s="195"/>
      <c r="D85" s="195"/>
      <c r="E85" s="195"/>
      <c r="F85" s="195"/>
      <c r="G85" s="196"/>
      <c r="H85" s="199" t="str" cm="1">
        <f t="array" ref="H85">IFERROR(INDEX('Base de Dados'!$A$3:$M$4991,SMALL(IF('Base de Dados'!$M$3:$M$4991=$B$73,ROW('Base de Dados'!$M$3:$M$4991)-2),ROW(A30)),1),"-")</f>
        <v>Boas Notícias</v>
      </c>
      <c r="I85" s="199"/>
      <c r="J85" s="199"/>
      <c r="K85" s="199"/>
      <c r="L85" s="199"/>
      <c r="M85" s="199"/>
      <c r="N85" s="199"/>
      <c r="O85" s="198" t="str" cm="1">
        <f t="array" ref="O85">IFERROR(INDEX('Base de Dados'!$A$3:$M$4991,SMALL(IF('Base de Dados'!$M$3:$M$4991=$B$73,ROW('Base de Dados'!$M$3:$M$4991)-2),ROW(A50)),1),"-")</f>
        <v>Mini Aurélio - 8a edição</v>
      </c>
      <c r="P85" s="199"/>
      <c r="Q85" s="199"/>
      <c r="R85" s="199"/>
      <c r="S85" s="199"/>
      <c r="T85" s="199"/>
      <c r="U85" s="200"/>
      <c r="V85" s="185" t="str" cm="1">
        <f t="array" ref="V85">IFERROR(INDEX('Base de Dados'!$A$3:$C$4991,SMALL(IF('Base de Dados'!$C$3:$C$4991=$B$48,ROW('Base de Dados'!$C$3:$C$4991)-2),ROW(A70)),1)," -")</f>
        <v xml:space="preserve"> -</v>
      </c>
      <c r="W85" s="185"/>
      <c r="X85" s="185"/>
      <c r="Y85" s="185"/>
      <c r="Z85" s="185"/>
      <c r="AA85" s="185"/>
      <c r="AB85" s="186"/>
    </row>
    <row r="86" spans="1:28" x14ac:dyDescent="0.25">
      <c r="A86" s="195" t="str" cm="1">
        <f t="array" ref="A86">IFERROR(INDEX('Base de Dados'!$A$3:$M$4991,SMALL(IF('Base de Dados'!$M$3:$M$4991=$B$73,ROW('Base de Dados'!$M$3:$M$4991)-2),ROW(A11)),1),"-")</f>
        <v>Memórias Inventadas</v>
      </c>
      <c r="B86" s="195"/>
      <c r="C86" s="195"/>
      <c r="D86" s="195"/>
      <c r="E86" s="195"/>
      <c r="F86" s="195"/>
      <c r="G86" s="196"/>
      <c r="H86" s="199" t="str" cm="1">
        <f t="array" ref="H86">IFERROR(INDEX('Base de Dados'!$A$3:$M$4991,SMALL(IF('Base de Dados'!$M$3:$M$4991=$B$73,ROW('Base de Dados'!$M$3:$M$4991)-2),ROW(A31)),1),"-")</f>
        <v>Boas Notícias 2 - Frases para compartilhar</v>
      </c>
      <c r="I86" s="199"/>
      <c r="J86" s="199"/>
      <c r="K86" s="199"/>
      <c r="L86" s="199"/>
      <c r="M86" s="199"/>
      <c r="N86" s="199"/>
      <c r="O86" s="198" t="str" cm="1">
        <f t="array" ref="O86">IFERROR(INDEX('Base de Dados'!$A$3:$M$4991,SMALL(IF('Base de Dados'!$M$3:$M$4991=$B$73,ROW('Base de Dados'!$M$3:$M$4991)-2),ROW(A51)),1),"-")</f>
        <v>Mini Aurélio - 7a edição</v>
      </c>
      <c r="P86" s="199"/>
      <c r="Q86" s="199"/>
      <c r="R86" s="199"/>
      <c r="S86" s="199"/>
      <c r="T86" s="199"/>
      <c r="U86" s="200"/>
      <c r="V86" s="185" t="str" cm="1">
        <f t="array" ref="V86">IFERROR(INDEX('Base de Dados'!$A$3:$C$4991,SMALL(IF('Base de Dados'!$C$3:$C$4991=$B$48,ROW('Base de Dados'!$C$3:$C$4991)-2),ROW(A71)),1)," -")</f>
        <v xml:space="preserve"> -</v>
      </c>
      <c r="W86" s="185"/>
      <c r="X86" s="185"/>
      <c r="Y86" s="185"/>
      <c r="Z86" s="185"/>
      <c r="AA86" s="185"/>
      <c r="AB86" s="186"/>
    </row>
    <row r="87" spans="1:28" x14ac:dyDescent="0.25">
      <c r="A87" s="195" t="str" cm="1">
        <f t="array" ref="A87">IFERROR(INDEX('Base de Dados'!$A$3:$M$4991,SMALL(IF('Base de Dados'!$M$3:$M$4991=$B$73,ROW('Base de Dados'!$M$3:$M$4991)-2),ROW(A12)),1),"-")</f>
        <v>Memórias Póstumas de Brás Cubas</v>
      </c>
      <c r="B87" s="195"/>
      <c r="C87" s="195"/>
      <c r="D87" s="195"/>
      <c r="E87" s="195"/>
      <c r="F87" s="195"/>
      <c r="G87" s="196"/>
      <c r="H87" s="199" t="str" cm="1">
        <f t="array" ref="H87">IFERROR(INDEX('Base de Dados'!$A$3:$M$4991,SMALL(IF('Base de Dados'!$M$3:$M$4991=$B$73,ROW('Base de Dados'!$M$3:$M$4991)-2),ROW(A32)),1),"-")</f>
        <v>Reformas no Brasil: Balanço e Agenda</v>
      </c>
      <c r="I87" s="199"/>
      <c r="J87" s="199"/>
      <c r="K87" s="199"/>
      <c r="L87" s="199"/>
      <c r="M87" s="199"/>
      <c r="N87" s="199"/>
      <c r="O87" s="198" t="str" cm="1">
        <f t="array" ref="O87">IFERROR(INDEX('Base de Dados'!$A$3:$M$4991,SMALL(IF('Base de Dados'!$M$3:$M$4991=$B$73,ROW('Base de Dados'!$M$3:$M$4991)-2),ROW(A52)),1),"-")</f>
        <v>Minidicionário Inglês</v>
      </c>
      <c r="P87" s="199"/>
      <c r="Q87" s="199"/>
      <c r="R87" s="199"/>
      <c r="S87" s="199"/>
      <c r="T87" s="199"/>
      <c r="U87" s="200"/>
      <c r="V87" s="185" t="str" cm="1">
        <f t="array" ref="V87">IFERROR(INDEX('Base de Dados'!$A$3:$C$4991,SMALL(IF('Base de Dados'!$C$3:$C$4991=$B$48,ROW('Base de Dados'!$C$3:$C$4991)-2),ROW(A72)),1)," -")</f>
        <v xml:space="preserve"> -</v>
      </c>
      <c r="W87" s="185"/>
      <c r="X87" s="185"/>
      <c r="Y87" s="185"/>
      <c r="Z87" s="185"/>
      <c r="AA87" s="185"/>
      <c r="AB87" s="186"/>
    </row>
    <row r="88" spans="1:28" x14ac:dyDescent="0.25">
      <c r="A88" s="195" t="str" cm="1">
        <f t="array" ref="A88">IFERROR(INDEX('Base de Dados'!$A$3:$M$4991,SMALL(IF('Base de Dados'!$M$3:$M$4991=$B$73,ROW('Base de Dados'!$M$3:$M$4991)-2),ROW(A13)),1),"-")</f>
        <v>Quincas Borba</v>
      </c>
      <c r="B88" s="195"/>
      <c r="C88" s="195"/>
      <c r="D88" s="195"/>
      <c r="E88" s="195"/>
      <c r="F88" s="195"/>
      <c r="G88" s="196"/>
      <c r="H88" s="199" t="str" cm="1">
        <f t="array" ref="H88">IFERROR(INDEX('Base de Dados'!$A$3:$M$4991,SMALL(IF('Base de Dados'!$M$3:$M$4991=$B$73,ROW('Base de Dados'!$M$3:$M$4991)-2),ROW(A33)),1),"-")</f>
        <v>Modernização, Ditadura e Democracia</v>
      </c>
      <c r="I88" s="199"/>
      <c r="J88" s="199"/>
      <c r="K88" s="199"/>
      <c r="L88" s="199"/>
      <c r="M88" s="199"/>
      <c r="N88" s="199"/>
      <c r="O88" s="198" t="str" cm="1">
        <f t="array" ref="O88">IFERROR(INDEX('Base de Dados'!$A$3:$M$4991,SMALL(IF('Base de Dados'!$M$3:$M$4991=$B$73,ROW('Base de Dados'!$M$3:$M$4991)-2),ROW(A53)),1),"-")</f>
        <v>Formação para Leituras Comentaristas</v>
      </c>
      <c r="P88" s="199"/>
      <c r="Q88" s="199"/>
      <c r="R88" s="199"/>
      <c r="S88" s="199"/>
      <c r="T88" s="199"/>
      <c r="U88" s="200"/>
      <c r="V88" s="185" t="str" cm="1">
        <f t="array" ref="V88">IFERROR(INDEX('Base de Dados'!$A$3:$C$4991,SMALL(IF('Base de Dados'!$C$3:$C$4991=$B$48,ROW('Base de Dados'!$C$3:$C$4991)-2),ROW(A73)),1)," -")</f>
        <v xml:space="preserve"> -</v>
      </c>
      <c r="W88" s="185"/>
      <c r="X88" s="185"/>
      <c r="Y88" s="185"/>
      <c r="Z88" s="185"/>
      <c r="AA88" s="185"/>
      <c r="AB88" s="186"/>
    </row>
    <row r="89" spans="1:28" x14ac:dyDescent="0.25">
      <c r="A89" s="195" t="str" cm="1">
        <f t="array" ref="A89">IFERROR(INDEX('Base de Dados'!$A$3:$M$4991,SMALL(IF('Base de Dados'!$M$3:$M$4991=$B$73,ROW('Base de Dados'!$M$3:$M$4991)-2),ROW(A14)),1),"-")</f>
        <v>A Senhora do Solar</v>
      </c>
      <c r="B89" s="195"/>
      <c r="C89" s="195"/>
      <c r="D89" s="195"/>
      <c r="E89" s="195"/>
      <c r="F89" s="195"/>
      <c r="G89" s="196"/>
      <c r="H89" s="199" t="str" cm="1">
        <f t="array" ref="H89">IFERROR(INDEX('Base de Dados'!$A$3:$M$4991,SMALL(IF('Base de Dados'!$M$3:$M$4991=$B$73,ROW('Base de Dados'!$M$3:$M$4991)-2),ROW(A34)),1),"-")</f>
        <v>República Alvorada</v>
      </c>
      <c r="I89" s="199"/>
      <c r="J89" s="199"/>
      <c r="K89" s="199"/>
      <c r="L89" s="199"/>
      <c r="M89" s="199"/>
      <c r="N89" s="199"/>
      <c r="O89" s="198" t="str" cm="1">
        <f t="array" ref="O89">IFERROR(INDEX('Base de Dados'!$A$3:$M$4991,SMALL(IF('Base de Dados'!$M$3:$M$4991=$B$73,ROW('Base de Dados'!$M$3:$M$4991)-2),ROW(A54)),1),"-")</f>
        <v>Das Causas Primárias</v>
      </c>
      <c r="P89" s="199"/>
      <c r="Q89" s="199"/>
      <c r="R89" s="199"/>
      <c r="S89" s="199"/>
      <c r="T89" s="199"/>
      <c r="U89" s="200"/>
      <c r="V89" s="185" t="str" cm="1">
        <f t="array" ref="V89">IFERROR(INDEX('Base de Dados'!$A$3:$C$4991,SMALL(IF('Base de Dados'!$C$3:$C$4991=$B$48,ROW('Base de Dados'!$C$3:$C$4991)-2),ROW(A74)),1)," -")</f>
        <v xml:space="preserve"> -</v>
      </c>
      <c r="W89" s="185"/>
      <c r="X89" s="185"/>
      <c r="Y89" s="185"/>
      <c r="Z89" s="185"/>
      <c r="AA89" s="185"/>
      <c r="AB89" s="186"/>
    </row>
    <row r="90" spans="1:28" x14ac:dyDescent="0.25">
      <c r="A90" s="195" t="str" cm="1">
        <f t="array" ref="A90">IFERROR(INDEX('Base de Dados'!$A$3:$M$4991,SMALL(IF('Base de Dados'!$M$3:$M$4991=$B$73,ROW('Base de Dados'!$M$3:$M$4991)-2),ROW(A15)),1),"-")</f>
        <v>Gabriela, Cravo e Canela</v>
      </c>
      <c r="B90" s="195"/>
      <c r="C90" s="195"/>
      <c r="D90" s="195"/>
      <c r="E90" s="195"/>
      <c r="F90" s="195"/>
      <c r="G90" s="196"/>
      <c r="H90" s="199" t="str" cm="1">
        <f t="array" ref="H90">IFERROR(INDEX('Base de Dados'!$A$3:$M$4991,SMALL(IF('Base de Dados'!$M$3:$M$4991=$B$73,ROW('Base de Dados'!$M$3:$M$4991)-2),ROW(A35)),1),"-")</f>
        <v>Programa Escolar de Pesquisa I</v>
      </c>
      <c r="I90" s="199"/>
      <c r="J90" s="199"/>
      <c r="K90" s="199"/>
      <c r="L90" s="199"/>
      <c r="M90" s="199"/>
      <c r="N90" s="199"/>
      <c r="O90" s="198" t="str" cm="1">
        <f t="array" ref="O90">IFERROR(INDEX('Base de Dados'!$A$3:$M$4991,SMALL(IF('Base de Dados'!$M$3:$M$4991=$B$73,ROW('Base de Dados'!$M$3:$M$4991)-2),ROW(A55)),1),"-")</f>
        <v>O Poder da Esperança</v>
      </c>
      <c r="P90" s="199"/>
      <c r="Q90" s="199"/>
      <c r="R90" s="199"/>
      <c r="S90" s="199"/>
      <c r="T90" s="199"/>
      <c r="U90" s="200"/>
      <c r="V90" s="185" t="str" cm="1">
        <f t="array" ref="V90">IFERROR(INDEX('Base de Dados'!$A$3:$C$4991,SMALL(IF('Base de Dados'!$C$3:$C$4991=$B$48,ROW('Base de Dados'!$C$3:$C$4991)-2),ROW(A75)),1)," -")</f>
        <v xml:space="preserve"> -</v>
      </c>
      <c r="W90" s="185"/>
      <c r="X90" s="185"/>
      <c r="Y90" s="185"/>
      <c r="Z90" s="185"/>
      <c r="AA90" s="185"/>
      <c r="AB90" s="186"/>
    </row>
    <row r="91" spans="1:28" x14ac:dyDescent="0.25">
      <c r="A91" s="195" t="str" cm="1">
        <f t="array" ref="A91">IFERROR(INDEX('Base de Dados'!$A$3:$M$4991,SMALL(IF('Base de Dados'!$M$3:$M$4991=$B$73,ROW('Base de Dados'!$M$3:$M$4991)-2),ROW(A16)),1),"-")</f>
        <v>Todos os Contos</v>
      </c>
      <c r="B91" s="195"/>
      <c r="C91" s="195"/>
      <c r="D91" s="195"/>
      <c r="E91" s="195"/>
      <c r="F91" s="195"/>
      <c r="G91" s="196"/>
      <c r="H91" s="199" t="str" cm="1">
        <f t="array" ref="H91">IFERROR(INDEX('Base de Dados'!$A$3:$M$4991,SMALL(IF('Base de Dados'!$M$3:$M$4991=$B$73,ROW('Base de Dados'!$M$3:$M$4991)-2),ROW(A36)),1),"-")</f>
        <v>Programa Escolar de Pesquisa II</v>
      </c>
      <c r="I91" s="199"/>
      <c r="J91" s="199"/>
      <c r="K91" s="199"/>
      <c r="L91" s="199"/>
      <c r="M91" s="199"/>
      <c r="N91" s="199"/>
      <c r="O91" s="198" t="str" cm="1">
        <f t="array" ref="O91">IFERROR(INDEX('Base de Dados'!$A$3:$M$4991,SMALL(IF('Base de Dados'!$M$3:$M$4991=$B$73,ROW('Base de Dados'!$M$3:$M$4991)-2),ROW(A56)),1),"-")</f>
        <v>O Tear do Destino</v>
      </c>
      <c r="P91" s="199"/>
      <c r="Q91" s="199"/>
      <c r="R91" s="199"/>
      <c r="S91" s="199"/>
      <c r="T91" s="199"/>
      <c r="U91" s="200"/>
      <c r="V91" s="185" t="str" cm="1">
        <f t="array" ref="V91">IFERROR(INDEX('Base de Dados'!$A$3:$C$4991,SMALL(IF('Base de Dados'!$C$3:$C$4991=$B$48,ROW('Base de Dados'!$C$3:$C$4991)-2),ROW(A76)),1)," -")</f>
        <v xml:space="preserve"> -</v>
      </c>
      <c r="W91" s="185"/>
      <c r="X91" s="185"/>
      <c r="Y91" s="185"/>
      <c r="Z91" s="185"/>
      <c r="AA91" s="185"/>
      <c r="AB91" s="186"/>
    </row>
    <row r="92" spans="1:28" x14ac:dyDescent="0.25">
      <c r="A92" s="195" t="str" cm="1">
        <f t="array" ref="A92">IFERROR(INDEX('Base de Dados'!$A$3:$M$4991,SMALL(IF('Base de Dados'!$M$3:$M$4991=$B$73,ROW('Base de Dados'!$M$3:$M$4991)-2),ROW(A17)),1),"-")</f>
        <v>Como Gerenciar seu Chefe</v>
      </c>
      <c r="B92" s="195"/>
      <c r="C92" s="195"/>
      <c r="D92" s="195"/>
      <c r="E92" s="195"/>
      <c r="F92" s="195"/>
      <c r="G92" s="196"/>
      <c r="H92" s="199" t="str" cm="1">
        <f t="array" ref="H92">IFERROR(INDEX('Base de Dados'!$A$3:$M$4991,SMALL(IF('Base de Dados'!$M$3:$M$4991=$B$73,ROW('Base de Dados'!$M$3:$M$4991)-2),ROW(A37)),1),"-")</f>
        <v>Programa Escolar de Pesquisa III</v>
      </c>
      <c r="I92" s="199"/>
      <c r="J92" s="199"/>
      <c r="K92" s="199"/>
      <c r="L92" s="199"/>
      <c r="M92" s="199"/>
      <c r="N92" s="199"/>
      <c r="O92" s="198" t="str" cm="1">
        <f t="array" ref="O92">IFERROR(INDEX('Base de Dados'!$A$3:$M$4991,SMALL(IF('Base de Dados'!$M$3:$M$4991=$B$73,ROW('Base de Dados'!$M$3:$M$4991)-2),ROW(A57)),1),"-")</f>
        <v>Imaginário, história oral &amp; transcendentalismo</v>
      </c>
      <c r="P92" s="199"/>
      <c r="Q92" s="199"/>
      <c r="R92" s="199"/>
      <c r="S92" s="199"/>
      <c r="T92" s="199"/>
      <c r="U92" s="200"/>
      <c r="V92" s="185" t="str" cm="1">
        <f t="array" ref="V92">IFERROR(INDEX('Base de Dados'!$A$3:$C$4991,SMALL(IF('Base de Dados'!$C$3:$C$4991=$B$48,ROW('Base de Dados'!$C$3:$C$4991)-2),ROW(A77)),1)," -")</f>
        <v xml:space="preserve"> -</v>
      </c>
      <c r="W92" s="185"/>
      <c r="X92" s="185"/>
      <c r="Y92" s="185"/>
      <c r="Z92" s="185"/>
      <c r="AA92" s="185"/>
      <c r="AB92" s="186"/>
    </row>
    <row r="93" spans="1:28" x14ac:dyDescent="0.25">
      <c r="A93" s="195" t="str" cm="1">
        <f t="array" ref="A93">IFERROR(INDEX('Base de Dados'!$A$3:$M$4991,SMALL(IF('Base de Dados'!$M$3:$M$4991=$B$73,ROW('Base de Dados'!$M$3:$M$4991)-2),ROW(A18)),1),"-")</f>
        <v>Seja Feliz : Diga não à Depressão</v>
      </c>
      <c r="B93" s="195"/>
      <c r="C93" s="195"/>
      <c r="D93" s="195"/>
      <c r="E93" s="195"/>
      <c r="F93" s="195"/>
      <c r="G93" s="196"/>
      <c r="H93" s="199" t="str" cm="1">
        <f t="array" ref="H93">IFERROR(INDEX('Base de Dados'!$A$3:$M$4991,SMALL(IF('Base de Dados'!$M$3:$M$4991=$B$73,ROW('Base de Dados'!$M$3:$M$4991)-2),ROW(A38)),1),"-")</f>
        <v>Programa Escolar de Pesquisa IV</v>
      </c>
      <c r="I93" s="199"/>
      <c r="J93" s="199"/>
      <c r="K93" s="199"/>
      <c r="L93" s="199"/>
      <c r="M93" s="199"/>
      <c r="N93" s="199"/>
      <c r="O93" s="198" t="str" cm="1">
        <f t="array" ref="O93">IFERROR(INDEX('Base de Dados'!$A$3:$M$4991,SMALL(IF('Base de Dados'!$M$3:$M$4991=$B$73,ROW('Base de Dados'!$M$3:$M$4991)-2),ROW(A58)),1),"-")</f>
        <v>O Ministérios de Leitores e Salmistas</v>
      </c>
      <c r="P93" s="199"/>
      <c r="Q93" s="199"/>
      <c r="R93" s="199"/>
      <c r="S93" s="199"/>
      <c r="T93" s="199"/>
      <c r="U93" s="200"/>
      <c r="V93" s="185" t="str" cm="1">
        <f t="array" ref="V93">IFERROR(INDEX('Base de Dados'!$A$3:$C$4991,SMALL(IF('Base de Dados'!$C$3:$C$4991=$B$48,ROW('Base de Dados'!$C$3:$C$4991)-2),ROW(A78)),1)," -")</f>
        <v xml:space="preserve"> -</v>
      </c>
      <c r="W93" s="185"/>
      <c r="X93" s="185"/>
      <c r="Y93" s="185"/>
      <c r="Z93" s="185"/>
      <c r="AA93" s="185"/>
      <c r="AB93" s="186"/>
    </row>
    <row r="94" spans="1:28" x14ac:dyDescent="0.25">
      <c r="A94" s="195" t="str" cm="1">
        <f t="array" ref="A94">IFERROR(INDEX('Base de Dados'!$A$3:$M$4991,SMALL(IF('Base de Dados'!$M$3:$M$4991=$B$73,ROW('Base de Dados'!$M$3:$M$4991)-2),ROW(A19)),1),"-")</f>
        <v>Arquivística: temas contemporâneos</v>
      </c>
      <c r="B94" s="195"/>
      <c r="C94" s="195"/>
      <c r="D94" s="195"/>
      <c r="E94" s="195"/>
      <c r="F94" s="195"/>
      <c r="G94" s="196"/>
      <c r="H94" s="199" t="str" cm="1">
        <f t="array" ref="H94">IFERROR(INDEX('Base de Dados'!$A$3:$M$4991,SMALL(IF('Base de Dados'!$M$3:$M$4991=$B$73,ROW('Base de Dados'!$M$3:$M$4991)-2),ROW(A39)),1),"-")</f>
        <v>Atlas Geográfico Escolar</v>
      </c>
      <c r="I94" s="199"/>
      <c r="J94" s="199"/>
      <c r="K94" s="199"/>
      <c r="L94" s="199"/>
      <c r="M94" s="199"/>
      <c r="N94" s="199"/>
      <c r="O94" s="198" t="str" cm="1">
        <f t="array" ref="O94">IFERROR(INDEX('Base de Dados'!$A$3:$M$4991,SMALL(IF('Base de Dados'!$M$3:$M$4991=$B$73,ROW('Base de Dados'!$M$3:$M$4991)-2),ROW(A59)),1),"-")</f>
        <v>Leituras e escritas do outro e de si na construção de identidades</v>
      </c>
      <c r="P94" s="199"/>
      <c r="Q94" s="199"/>
      <c r="R94" s="199"/>
      <c r="S94" s="199"/>
      <c r="T94" s="199"/>
      <c r="U94" s="200"/>
      <c r="V94" s="185" t="str" cm="1">
        <f t="array" ref="V94">IFERROR(INDEX('Base de Dados'!$A$3:$C$4991,SMALL(IF('Base de Dados'!$C$3:$C$4991=$B$48,ROW('Base de Dados'!$C$3:$C$4991)-2),ROW(A79)),1)," -")</f>
        <v xml:space="preserve"> -</v>
      </c>
      <c r="W94" s="185"/>
      <c r="X94" s="185"/>
      <c r="Y94" s="185"/>
      <c r="Z94" s="185"/>
      <c r="AA94" s="185"/>
      <c r="AB94" s="186"/>
    </row>
    <row r="95" spans="1:28" x14ac:dyDescent="0.25">
      <c r="A95" s="195" t="str" cm="1">
        <f t="array" ref="A95">IFERROR(INDEX('Base de Dados'!$A$3:$M$4991,SMALL(IF('Base de Dados'!$M$3:$M$4991=$B$73,ROW('Base de Dados'!$M$3:$M$4991)-2),ROW(A20)),1),"-")</f>
        <v>Não se Desespere!</v>
      </c>
      <c r="B95" s="195"/>
      <c r="C95" s="195"/>
      <c r="D95" s="195"/>
      <c r="E95" s="195"/>
      <c r="F95" s="195"/>
      <c r="G95" s="196"/>
      <c r="H95" s="202" t="str" cm="1">
        <f t="array" ref="H95">IFERROR(INDEX('Base de Dados'!$A$3:$M$4991,SMALL(IF('Base de Dados'!$M$3:$M$4991=$B$73,ROW('Base de Dados'!$M$3:$M$4991)-2),ROW(A40)),1),"-")</f>
        <v>Biologia (Ensino Médio)</v>
      </c>
      <c r="I95" s="202"/>
      <c r="J95" s="202"/>
      <c r="K95" s="202"/>
      <c r="L95" s="202"/>
      <c r="M95" s="202"/>
      <c r="N95" s="202"/>
      <c r="O95" s="201" t="str" cm="1">
        <f t="array" ref="O95">IFERROR(INDEX('Base de Dados'!$A$3:$M$4991,SMALL(IF('Base de Dados'!$M$3:$M$4991=$B$73,ROW('Base de Dados'!$M$3:$M$4991)-2),ROW(A60)),1),"-")</f>
        <v>-</v>
      </c>
      <c r="P95" s="202"/>
      <c r="Q95" s="202"/>
      <c r="R95" s="202"/>
      <c r="S95" s="202"/>
      <c r="T95" s="202"/>
      <c r="U95" s="203"/>
      <c r="V95" s="185" t="str" cm="1">
        <f t="array" ref="V95">IFERROR(INDEX('Base de Dados'!$A$3:$C$4991,SMALL(IF('Base de Dados'!$C$3:$C$4991=$B$48,ROW('Base de Dados'!$C$3:$C$4991)-2),ROW(A80)),1)," -")</f>
        <v xml:space="preserve"> -</v>
      </c>
      <c r="W95" s="185"/>
      <c r="X95" s="185"/>
      <c r="Y95" s="185"/>
      <c r="Z95" s="185"/>
      <c r="AA95" s="185"/>
      <c r="AB95" s="186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190" t="s">
        <v>735</v>
      </c>
      <c r="B97" s="191"/>
      <c r="C97" s="191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1"/>
      <c r="Y97" s="191"/>
      <c r="Z97" s="191"/>
      <c r="AA97" s="191"/>
      <c r="AB97" s="191"/>
    </row>
    <row r="98" spans="1:28" ht="21" x14ac:dyDescent="0.35">
      <c r="A98" s="24" t="s">
        <v>736</v>
      </c>
      <c r="B98" s="214" t="s">
        <v>34</v>
      </c>
      <c r="C98" s="215"/>
      <c r="D98" s="215"/>
      <c r="E98" s="215"/>
      <c r="F98" s="215"/>
      <c r="G98" s="216"/>
      <c r="H98" s="23"/>
      <c r="I98" s="167" t="s">
        <v>737</v>
      </c>
      <c r="J98" s="168"/>
      <c r="K98" s="168"/>
      <c r="L98" s="169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188" t="s">
        <v>728</v>
      </c>
      <c r="B100" s="189"/>
      <c r="C100" s="189"/>
      <c r="D100" s="189"/>
      <c r="E100" s="189"/>
      <c r="F100" s="189"/>
      <c r="G100" s="189"/>
      <c r="H100" s="189"/>
      <c r="I100" s="189"/>
      <c r="J100" s="189"/>
      <c r="K100" s="189"/>
      <c r="L100" s="189"/>
      <c r="M100" s="189"/>
      <c r="N100" s="189"/>
      <c r="O100" s="189"/>
      <c r="P100" s="189"/>
      <c r="Q100" s="189"/>
      <c r="R100" s="189"/>
      <c r="S100" s="189"/>
      <c r="T100" s="189"/>
      <c r="U100" s="189"/>
      <c r="V100" s="189"/>
      <c r="W100" s="189"/>
      <c r="X100" s="189"/>
      <c r="Y100" s="189"/>
      <c r="Z100" s="189"/>
      <c r="AA100" s="189"/>
      <c r="AB100" s="189"/>
    </row>
    <row r="101" spans="1:28" x14ac:dyDescent="0.25">
      <c r="A101" s="195" t="str" cm="1">
        <f t="array" ref="A101">IFERROR(INDEX('Base de Dados'!$A$3:$M$4991,SMALL(IF('Base de Dados'!$F$3:$F$4991=$B$98,ROW('Base de Dados'!$F$3:$F$4991)-2),ROW(A1)),1),"-")</f>
        <v>Agonia do Eros</v>
      </c>
      <c r="B101" s="195"/>
      <c r="C101" s="195"/>
      <c r="D101" s="195"/>
      <c r="E101" s="195"/>
      <c r="F101" s="195"/>
      <c r="G101" s="196"/>
      <c r="H101" s="197" t="str" cm="1">
        <f t="array" ref="H101">IFERROR(INDEX('Base de Dados'!$A$3:$M$4991,SMALL(IF('Base de Dados'!$F$3:$F$4991=$B$98,ROW('Base de Dados'!$F$3:$F$4991)-2),ROW(A21)),1),"-")</f>
        <v>-</v>
      </c>
      <c r="I101" s="195"/>
      <c r="J101" s="195"/>
      <c r="K101" s="195"/>
      <c r="L101" s="195"/>
      <c r="M101" s="195"/>
      <c r="N101" s="196"/>
      <c r="O101" s="195" t="str" cm="1">
        <f t="array" ref="O101">IFERROR(INDEX('Base de Dados'!$A$3:$M$4991,SMALL(IF('Base de Dados'!$F$3:$F$4991=$B$98,ROW('Base de Dados'!$F$3:$F$4991)-2),ROW(A41)),1),"-")</f>
        <v>-</v>
      </c>
      <c r="P101" s="195"/>
      <c r="Q101" s="195"/>
      <c r="R101" s="195"/>
      <c r="S101" s="195"/>
      <c r="T101" s="195"/>
      <c r="U101" s="196"/>
      <c r="V101" s="180" t="str" cm="1">
        <f t="array" ref="V101">IFERROR(INDEX('Base de Dados'!$A$3:$M$4991,SMALL(IF('Base de Dados'!$F$3:$F$4991=$B$98,ROW('Base de Dados'!$F$3:$F$4991)-2),ROW(A61)),1),"-")</f>
        <v>-</v>
      </c>
      <c r="W101" s="180"/>
      <c r="X101" s="180"/>
      <c r="Y101" s="180"/>
      <c r="Z101" s="180"/>
      <c r="AA101" s="180"/>
      <c r="AB101" s="181"/>
    </row>
    <row r="102" spans="1:28" x14ac:dyDescent="0.25">
      <c r="A102" s="195" t="str" cm="1">
        <f t="array" ref="A102">IFERROR(INDEX('Base de Dados'!$A$3:$M$4991,SMALL(IF('Base de Dados'!$F$3:$F$4991=$B$98,ROW('Base de Dados'!$F$3:$F$4991)-2),ROW(A2)),1),"-")</f>
        <v>Sociedade do Cansaço</v>
      </c>
      <c r="B102" s="195"/>
      <c r="C102" s="195"/>
      <c r="D102" s="195"/>
      <c r="E102" s="195"/>
      <c r="F102" s="195"/>
      <c r="G102" s="196"/>
      <c r="H102" s="197" t="str" cm="1">
        <f t="array" ref="H102">IFERROR(INDEX('Base de Dados'!$A$3:$M$4991,SMALL(IF('Base de Dados'!$F$3:$F$4991=$B$98,ROW('Base de Dados'!$F$3:$F$4991)-2),ROW(A22)),1),"-")</f>
        <v>-</v>
      </c>
      <c r="I102" s="195"/>
      <c r="J102" s="195"/>
      <c r="K102" s="195"/>
      <c r="L102" s="195"/>
      <c r="M102" s="195"/>
      <c r="N102" s="196"/>
      <c r="O102" s="195" t="str" cm="1">
        <f t="array" ref="O102">IFERROR(INDEX('Base de Dados'!$A$3:$M$4991,SMALL(IF('Base de Dados'!$F$3:$F$4991=$B$98,ROW('Base de Dados'!$F$3:$F$4991)-2),ROW(A42)),1),"-")</f>
        <v>-</v>
      </c>
      <c r="P102" s="195"/>
      <c r="Q102" s="195"/>
      <c r="R102" s="195"/>
      <c r="S102" s="195"/>
      <c r="T102" s="195"/>
      <c r="U102" s="196"/>
      <c r="V102" s="180" t="str" cm="1">
        <f t="array" ref="V102">IFERROR(INDEX('Base de Dados'!$A$3:$M$4991,SMALL(IF('Base de Dados'!$F$3:$F$4991=$B$98,ROW('Base de Dados'!$F$3:$F$4991)-2),ROW(A62)),1),"-")</f>
        <v>-</v>
      </c>
      <c r="W102" s="180"/>
      <c r="X102" s="180"/>
      <c r="Y102" s="180"/>
      <c r="Z102" s="180"/>
      <c r="AA102" s="180"/>
      <c r="AB102" s="181"/>
    </row>
    <row r="103" spans="1:28" x14ac:dyDescent="0.25">
      <c r="A103" s="195" t="str" cm="1">
        <f t="array" ref="A103">IFERROR(INDEX('Base de Dados'!$A$3:$M$4991,SMALL(IF('Base de Dados'!$F$3:$F$4991=$B$98,ROW('Base de Dados'!$F$3:$F$4991)-2),ROW(A3)),1),"-")</f>
        <v>Não se Desespere!</v>
      </c>
      <c r="B103" s="195"/>
      <c r="C103" s="195"/>
      <c r="D103" s="195"/>
      <c r="E103" s="195"/>
      <c r="F103" s="195"/>
      <c r="G103" s="196"/>
      <c r="H103" s="197" t="str" cm="1">
        <f t="array" ref="H103">IFERROR(INDEX('Base de Dados'!$A$3:$M$4991,SMALL(IF('Base de Dados'!$F$3:$F$4991=$B$98,ROW('Base de Dados'!$F$3:$F$4991)-2),ROW(A23)),1),"-")</f>
        <v>-</v>
      </c>
      <c r="I103" s="195"/>
      <c r="J103" s="195"/>
      <c r="K103" s="195"/>
      <c r="L103" s="195"/>
      <c r="M103" s="195"/>
      <c r="N103" s="196"/>
      <c r="O103" s="195" t="str" cm="1">
        <f t="array" ref="O103">IFERROR(INDEX('Base de Dados'!$A$3:$M$4991,SMALL(IF('Base de Dados'!$F$3:$F$4991=$B$98,ROW('Base de Dados'!$F$3:$F$4991)-2),ROW(A43)),1),"-")</f>
        <v>-</v>
      </c>
      <c r="P103" s="195"/>
      <c r="Q103" s="195"/>
      <c r="R103" s="195"/>
      <c r="S103" s="195"/>
      <c r="T103" s="195"/>
      <c r="U103" s="196"/>
      <c r="V103" s="180" t="str" cm="1">
        <f t="array" ref="V103">IFERROR(INDEX('Base de Dados'!$A$3:$M$4991,SMALL(IF('Base de Dados'!$F$3:$F$4991=$B$98,ROW('Base de Dados'!$F$3:$F$4991)-2),ROW(A63)),1),"-")</f>
        <v>-</v>
      </c>
      <c r="W103" s="180"/>
      <c r="X103" s="180"/>
      <c r="Y103" s="180"/>
      <c r="Z103" s="180"/>
      <c r="AA103" s="180"/>
      <c r="AB103" s="181"/>
    </row>
    <row r="104" spans="1:28" x14ac:dyDescent="0.25">
      <c r="A104" s="195" t="str" cm="1">
        <f t="array" ref="A104">IFERROR(INDEX('Base de Dados'!$A$3:$M$4991,SMALL(IF('Base de Dados'!$F$3:$F$4991=$B$98,ROW('Base de Dados'!$F$3:$F$4991)-2),ROW(A4)),1),"-")</f>
        <v>Não Espere Pelo Epitáfio!</v>
      </c>
      <c r="B104" s="195"/>
      <c r="C104" s="195"/>
      <c r="D104" s="195"/>
      <c r="E104" s="195"/>
      <c r="F104" s="195"/>
      <c r="G104" s="196"/>
      <c r="H104" s="197" t="str" cm="1">
        <f t="array" ref="H104">IFERROR(INDEX('Base de Dados'!$A$3:$M$4991,SMALL(IF('Base de Dados'!$F$3:$F$4991=$B$98,ROW('Base de Dados'!$F$3:$F$4991)-2),ROW(A24)),1),"-")</f>
        <v>-</v>
      </c>
      <c r="I104" s="195"/>
      <c r="J104" s="195"/>
      <c r="K104" s="195"/>
      <c r="L104" s="195"/>
      <c r="M104" s="195"/>
      <c r="N104" s="196"/>
      <c r="O104" s="195" t="str" cm="1">
        <f t="array" ref="O104">IFERROR(INDEX('Base de Dados'!$A$3:$M$4991,SMALL(IF('Base de Dados'!$F$3:$F$4991=$B$98,ROW('Base de Dados'!$F$3:$F$4991)-2),ROW(A44)),1),"-")</f>
        <v>-</v>
      </c>
      <c r="P104" s="195"/>
      <c r="Q104" s="195"/>
      <c r="R104" s="195"/>
      <c r="S104" s="195"/>
      <c r="T104" s="195"/>
      <c r="U104" s="196"/>
      <c r="V104" s="180" t="str" cm="1">
        <f t="array" ref="V104">IFERROR(INDEX('Base de Dados'!$A$3:$M$4991,SMALL(IF('Base de Dados'!$F$3:$F$4991=$B$98,ROW('Base de Dados'!$F$3:$F$4991)-2),ROW(A64)),1),"-")</f>
        <v>-</v>
      </c>
      <c r="W104" s="180"/>
      <c r="X104" s="180"/>
      <c r="Y104" s="180"/>
      <c r="Z104" s="180"/>
      <c r="AA104" s="180"/>
      <c r="AB104" s="181"/>
    </row>
    <row r="105" spans="1:28" x14ac:dyDescent="0.25">
      <c r="A105" s="195" t="str" cm="1">
        <f t="array" ref="A105">IFERROR(INDEX('Base de Dados'!$A$3:$M$4991,SMALL(IF('Base de Dados'!$F$3:$F$4991=$B$98,ROW('Base de Dados'!$F$3:$F$4991)-2),ROW(A5)),1),"-")</f>
        <v>Não Nascemos Prontos!</v>
      </c>
      <c r="B105" s="195"/>
      <c r="C105" s="195"/>
      <c r="D105" s="195"/>
      <c r="E105" s="195"/>
      <c r="F105" s="195"/>
      <c r="G105" s="196"/>
      <c r="H105" s="197" t="str" cm="1">
        <f t="array" ref="H105">IFERROR(INDEX('Base de Dados'!$A$3:$M$4991,SMALL(IF('Base de Dados'!$F$3:$F$4991=$B$98,ROW('Base de Dados'!$F$3:$F$4991)-2),ROW(A25)),1),"-")</f>
        <v>-</v>
      </c>
      <c r="I105" s="195"/>
      <c r="J105" s="195"/>
      <c r="K105" s="195"/>
      <c r="L105" s="195"/>
      <c r="M105" s="195"/>
      <c r="N105" s="196"/>
      <c r="O105" s="195" t="str" cm="1">
        <f t="array" ref="O105">IFERROR(INDEX('Base de Dados'!$A$3:$M$4991,SMALL(IF('Base de Dados'!$F$3:$F$4991=$B$98,ROW('Base de Dados'!$F$3:$F$4991)-2),ROW(A45)),1),"-")</f>
        <v>-</v>
      </c>
      <c r="P105" s="195"/>
      <c r="Q105" s="195"/>
      <c r="R105" s="195"/>
      <c r="S105" s="195"/>
      <c r="T105" s="195"/>
      <c r="U105" s="196"/>
      <c r="V105" s="180" t="str" cm="1">
        <f t="array" ref="V105">IFERROR(INDEX('Base de Dados'!$A$3:$M$4991,SMALL(IF('Base de Dados'!$F$3:$F$4991=$B$98,ROW('Base de Dados'!$F$3:$F$4991)-2),ROW(A65)),1),"-")</f>
        <v>-</v>
      </c>
      <c r="W105" s="180"/>
      <c r="X105" s="180"/>
      <c r="Y105" s="180"/>
      <c r="Z105" s="180"/>
      <c r="AA105" s="180"/>
      <c r="AB105" s="181"/>
    </row>
    <row r="106" spans="1:28" x14ac:dyDescent="0.25">
      <c r="A106" s="195" t="str" cm="1">
        <f t="array" ref="A106">IFERROR(INDEX('Base de Dados'!$A$3:$M$4991,SMALL(IF('Base de Dados'!$F$3:$F$4991=$B$98,ROW('Base de Dados'!$F$3:$F$4991)-2),ROW(A6)),1),"-")</f>
        <v>-</v>
      </c>
      <c r="B106" s="195"/>
      <c r="C106" s="195"/>
      <c r="D106" s="195"/>
      <c r="E106" s="195"/>
      <c r="F106" s="195"/>
      <c r="G106" s="196"/>
      <c r="H106" s="197" t="str" cm="1">
        <f t="array" ref="H106">IFERROR(INDEX('Base de Dados'!$A$3:$M$4991,SMALL(IF('Base de Dados'!$F$3:$F$4991=$B$98,ROW('Base de Dados'!$F$3:$F$4991)-2),ROW(A26)),1),"-")</f>
        <v>-</v>
      </c>
      <c r="I106" s="195"/>
      <c r="J106" s="195"/>
      <c r="K106" s="195"/>
      <c r="L106" s="195"/>
      <c r="M106" s="195"/>
      <c r="N106" s="196"/>
      <c r="O106" s="195" t="str" cm="1">
        <f t="array" ref="O106">IFERROR(INDEX('Base de Dados'!$A$3:$M$4991,SMALL(IF('Base de Dados'!$F$3:$F$4991=$B$98,ROW('Base de Dados'!$F$3:$F$4991)-2),ROW(A46)),1),"-")</f>
        <v>-</v>
      </c>
      <c r="P106" s="195"/>
      <c r="Q106" s="195"/>
      <c r="R106" s="195"/>
      <c r="S106" s="195"/>
      <c r="T106" s="195"/>
      <c r="U106" s="196"/>
      <c r="V106" s="180" t="str" cm="1">
        <f t="array" ref="V106">IFERROR(INDEX('Base de Dados'!$A$3:$M$4991,SMALL(IF('Base de Dados'!$F$3:$F$4991=$B$98,ROW('Base de Dados'!$F$3:$F$4991)-2),ROW(A66)),1),"-")</f>
        <v>-</v>
      </c>
      <c r="W106" s="180"/>
      <c r="X106" s="180"/>
      <c r="Y106" s="180"/>
      <c r="Z106" s="180"/>
      <c r="AA106" s="180"/>
      <c r="AB106" s="181"/>
    </row>
    <row r="107" spans="1:28" x14ac:dyDescent="0.25">
      <c r="A107" s="195" t="str" cm="1">
        <f t="array" ref="A107">IFERROR(INDEX('Base de Dados'!$A$3:$M$4991,SMALL(IF('Base de Dados'!$F$3:$F$4991=$B$98,ROW('Base de Dados'!$F$3:$F$4991)-2),ROW(A7)),1),"-")</f>
        <v>-</v>
      </c>
      <c r="B107" s="195"/>
      <c r="C107" s="195"/>
      <c r="D107" s="195"/>
      <c r="E107" s="195"/>
      <c r="F107" s="195"/>
      <c r="G107" s="196"/>
      <c r="H107" s="197" t="str" cm="1">
        <f t="array" ref="H107">IFERROR(INDEX('Base de Dados'!$A$3:$M$4991,SMALL(IF('Base de Dados'!$F$3:$F$4991=$B$98,ROW('Base de Dados'!$F$3:$F$4991)-2),ROW(A27)),1),"-")</f>
        <v>-</v>
      </c>
      <c r="I107" s="195"/>
      <c r="J107" s="195"/>
      <c r="K107" s="195"/>
      <c r="L107" s="195"/>
      <c r="M107" s="195"/>
      <c r="N107" s="196"/>
      <c r="O107" s="195" t="str" cm="1">
        <f t="array" ref="O107">IFERROR(INDEX('Base de Dados'!$A$3:$M$4991,SMALL(IF('Base de Dados'!$F$3:$F$4991=$B$98,ROW('Base de Dados'!$F$3:$F$4991)-2),ROW(A47)),1),"-")</f>
        <v>-</v>
      </c>
      <c r="P107" s="195"/>
      <c r="Q107" s="195"/>
      <c r="R107" s="195"/>
      <c r="S107" s="195"/>
      <c r="T107" s="195"/>
      <c r="U107" s="196"/>
      <c r="V107" s="180" t="str" cm="1">
        <f t="array" ref="V107">IFERROR(INDEX('Base de Dados'!$A$3:$M$4991,SMALL(IF('Base de Dados'!$F$3:$F$4991=$B$98,ROW('Base de Dados'!$F$3:$F$4991)-2),ROW(A67)),1),"-")</f>
        <v>-</v>
      </c>
      <c r="W107" s="180"/>
      <c r="X107" s="180"/>
      <c r="Y107" s="180"/>
      <c r="Z107" s="180"/>
      <c r="AA107" s="180"/>
      <c r="AB107" s="181"/>
    </row>
    <row r="108" spans="1:28" x14ac:dyDescent="0.25">
      <c r="A108" s="195" t="str" cm="1">
        <f t="array" ref="A108">IFERROR(INDEX('Base de Dados'!$A$3:$M$4991,SMALL(IF('Base de Dados'!$F$3:$F$4991=$B$98,ROW('Base de Dados'!$F$3:$F$4991)-2),ROW(A8)),1),"-")</f>
        <v>-</v>
      </c>
      <c r="B108" s="195"/>
      <c r="C108" s="195"/>
      <c r="D108" s="195"/>
      <c r="E108" s="195"/>
      <c r="F108" s="195"/>
      <c r="G108" s="196"/>
      <c r="H108" s="197" t="str" cm="1">
        <f t="array" ref="H108">IFERROR(INDEX('Base de Dados'!$A$3:$M$4991,SMALL(IF('Base de Dados'!$F$3:$F$4991=$B$98,ROW('Base de Dados'!$F$3:$F$4991)-2),ROW(A28)),1),"-")</f>
        <v>-</v>
      </c>
      <c r="I108" s="195"/>
      <c r="J108" s="195"/>
      <c r="K108" s="195"/>
      <c r="L108" s="195"/>
      <c r="M108" s="195"/>
      <c r="N108" s="196"/>
      <c r="O108" s="195" t="str" cm="1">
        <f t="array" ref="O108">IFERROR(INDEX('Base de Dados'!$A$3:$M$4991,SMALL(IF('Base de Dados'!$F$3:$F$4991=$B$98,ROW('Base de Dados'!$F$3:$F$4991)-2),ROW(A48)),1),"-")</f>
        <v>-</v>
      </c>
      <c r="P108" s="195"/>
      <c r="Q108" s="195"/>
      <c r="R108" s="195"/>
      <c r="S108" s="195"/>
      <c r="T108" s="195"/>
      <c r="U108" s="196"/>
      <c r="V108" s="180" t="str" cm="1">
        <f t="array" ref="V108">IFERROR(INDEX('Base de Dados'!$A$3:$M$4991,SMALL(IF('Base de Dados'!$F$3:$F$4991=$B$98,ROW('Base de Dados'!$F$3:$F$4991)-2),ROW(A68)),1),"-")</f>
        <v>-</v>
      </c>
      <c r="W108" s="180"/>
      <c r="X108" s="180"/>
      <c r="Y108" s="180"/>
      <c r="Z108" s="180"/>
      <c r="AA108" s="180"/>
      <c r="AB108" s="181"/>
    </row>
    <row r="109" spans="1:28" x14ac:dyDescent="0.25">
      <c r="A109" s="195" t="str" cm="1">
        <f t="array" ref="A109">IFERROR(INDEX('Base de Dados'!$A$3:$M$4991,SMALL(IF('Base de Dados'!$F$3:$F$4991=$B$98,ROW('Base de Dados'!$F$3:$F$4991)-2),ROW(A9)),1),"-")</f>
        <v>-</v>
      </c>
      <c r="B109" s="195"/>
      <c r="C109" s="195"/>
      <c r="D109" s="195"/>
      <c r="E109" s="195"/>
      <c r="F109" s="195"/>
      <c r="G109" s="196"/>
      <c r="H109" s="197" t="str" cm="1">
        <f t="array" ref="H109">IFERROR(INDEX('Base de Dados'!$A$3:$M$4991,SMALL(IF('Base de Dados'!$F$3:$F$4991=$B$98,ROW('Base de Dados'!$F$3:$F$4991)-2),ROW(A29)),1),"-")</f>
        <v>-</v>
      </c>
      <c r="I109" s="195"/>
      <c r="J109" s="195"/>
      <c r="K109" s="195"/>
      <c r="L109" s="195"/>
      <c r="M109" s="195"/>
      <c r="N109" s="196"/>
      <c r="O109" s="195" t="str" cm="1">
        <f t="array" ref="O109">IFERROR(INDEX('Base de Dados'!$A$3:$M$4991,SMALL(IF('Base de Dados'!$F$3:$F$4991=$B$98,ROW('Base de Dados'!$F$3:$F$4991)-2),ROW(A49)),1),"-")</f>
        <v>-</v>
      </c>
      <c r="P109" s="195"/>
      <c r="Q109" s="195"/>
      <c r="R109" s="195"/>
      <c r="S109" s="195"/>
      <c r="T109" s="195"/>
      <c r="U109" s="196"/>
      <c r="V109" s="180" t="str" cm="1">
        <f t="array" ref="V109">IFERROR(INDEX('Base de Dados'!$A$3:$M$4991,SMALL(IF('Base de Dados'!$F$3:$F$4991=$B$98,ROW('Base de Dados'!$F$3:$F$4991)-2),ROW(A69)),1),"-")</f>
        <v>-</v>
      </c>
      <c r="W109" s="180"/>
      <c r="X109" s="180"/>
      <c r="Y109" s="180"/>
      <c r="Z109" s="180"/>
      <c r="AA109" s="180"/>
      <c r="AB109" s="181"/>
    </row>
    <row r="110" spans="1:28" x14ac:dyDescent="0.25">
      <c r="A110" s="195" t="str" cm="1">
        <f t="array" ref="A110">IFERROR(INDEX('Base de Dados'!$A$3:$M$4991,SMALL(IF('Base de Dados'!$F$3:$F$4991=$B$98,ROW('Base de Dados'!$F$3:$F$4991)-2),ROW(A10)),1),"-")</f>
        <v>-</v>
      </c>
      <c r="B110" s="195"/>
      <c r="C110" s="195"/>
      <c r="D110" s="195"/>
      <c r="E110" s="195"/>
      <c r="F110" s="195"/>
      <c r="G110" s="196"/>
      <c r="H110" s="197" t="str" cm="1">
        <f t="array" ref="H110">IFERROR(INDEX('Base de Dados'!$A$3:$M$4991,SMALL(IF('Base de Dados'!$F$3:$F$4991=$B$98,ROW('Base de Dados'!$F$3:$F$4991)-2),ROW(A30)),1),"-")</f>
        <v>-</v>
      </c>
      <c r="I110" s="195"/>
      <c r="J110" s="195"/>
      <c r="K110" s="195"/>
      <c r="L110" s="195"/>
      <c r="M110" s="195"/>
      <c r="N110" s="196"/>
      <c r="O110" s="195" t="str" cm="1">
        <f t="array" ref="O110">IFERROR(INDEX('Base de Dados'!$A$3:$M$4991,SMALL(IF('Base de Dados'!$F$3:$F$4991=$B$98,ROW('Base de Dados'!$F$3:$F$4991)-2),ROW(A50)),1),"-")</f>
        <v>-</v>
      </c>
      <c r="P110" s="195"/>
      <c r="Q110" s="195"/>
      <c r="R110" s="195"/>
      <c r="S110" s="195"/>
      <c r="T110" s="195"/>
      <c r="U110" s="196"/>
      <c r="V110" s="180" t="str" cm="1">
        <f t="array" ref="V110">IFERROR(INDEX('Base de Dados'!$A$3:$M$4991,SMALL(IF('Base de Dados'!$F$3:$F$4991=$B$98,ROW('Base de Dados'!$F$3:$F$4991)-2),ROW(A70)),1),"-")</f>
        <v>-</v>
      </c>
      <c r="W110" s="180"/>
      <c r="X110" s="180"/>
      <c r="Y110" s="180"/>
      <c r="Z110" s="180"/>
      <c r="AA110" s="180"/>
      <c r="AB110" s="181"/>
    </row>
    <row r="111" spans="1:28" x14ac:dyDescent="0.25">
      <c r="A111" s="195" t="str" cm="1">
        <f t="array" ref="A111">IFERROR(INDEX('Base de Dados'!$A$3:$M$4991,SMALL(IF('Base de Dados'!$F$3:$F$4991=$B$98,ROW('Base de Dados'!$F$3:$F$4991)-2),ROW(A11)),1),"-")</f>
        <v>-</v>
      </c>
      <c r="B111" s="195"/>
      <c r="C111" s="195"/>
      <c r="D111" s="195"/>
      <c r="E111" s="195"/>
      <c r="F111" s="195"/>
      <c r="G111" s="196"/>
      <c r="H111" s="197" t="str" cm="1">
        <f t="array" ref="H111">IFERROR(INDEX('Base de Dados'!$A$3:$M$4991,SMALL(IF('Base de Dados'!$F$3:$F$4991=$B$98,ROW('Base de Dados'!$F$3:$F$4991)-2),ROW(A31)),1),"-")</f>
        <v>-</v>
      </c>
      <c r="I111" s="195"/>
      <c r="J111" s="195"/>
      <c r="K111" s="195"/>
      <c r="L111" s="195"/>
      <c r="M111" s="195"/>
      <c r="N111" s="196"/>
      <c r="O111" s="195" t="str" cm="1">
        <f t="array" ref="O111">IFERROR(INDEX('Base de Dados'!$A$3:$M$4991,SMALL(IF('Base de Dados'!$F$3:$F$4991=$B$98,ROW('Base de Dados'!$F$3:$F$4991)-2),ROW(A51)),1),"-")</f>
        <v>-</v>
      </c>
      <c r="P111" s="195"/>
      <c r="Q111" s="195"/>
      <c r="R111" s="195"/>
      <c r="S111" s="195"/>
      <c r="T111" s="195"/>
      <c r="U111" s="196"/>
      <c r="V111" s="180" t="str" cm="1">
        <f t="array" ref="V111">IFERROR(INDEX('Base de Dados'!$A$3:$M$4991,SMALL(IF('Base de Dados'!$F$3:$F$4991=$B$98,ROW('Base de Dados'!$F$3:$F$4991)-2),ROW(A71)),1),"-")</f>
        <v>-</v>
      </c>
      <c r="W111" s="180"/>
      <c r="X111" s="180"/>
      <c r="Y111" s="180"/>
      <c r="Z111" s="180"/>
      <c r="AA111" s="180"/>
      <c r="AB111" s="181"/>
    </row>
    <row r="112" spans="1:28" x14ac:dyDescent="0.25">
      <c r="A112" s="195" t="str" cm="1">
        <f t="array" ref="A112">IFERROR(INDEX('Base de Dados'!$A$3:$M$4991,SMALL(IF('Base de Dados'!$F$3:$F$4991=$B$98,ROW('Base de Dados'!$F$3:$F$4991)-2),ROW(A12)),1),"-")</f>
        <v>-</v>
      </c>
      <c r="B112" s="195"/>
      <c r="C112" s="195"/>
      <c r="D112" s="195"/>
      <c r="E112" s="195"/>
      <c r="F112" s="195"/>
      <c r="G112" s="196"/>
      <c r="H112" s="197" t="str" cm="1">
        <f t="array" ref="H112">IFERROR(INDEX('Base de Dados'!$A$3:$M$4991,SMALL(IF('Base de Dados'!$F$3:$F$4991=$B$98,ROW('Base de Dados'!$F$3:$F$4991)-2),ROW(A32)),1),"-")</f>
        <v>-</v>
      </c>
      <c r="I112" s="195"/>
      <c r="J112" s="195"/>
      <c r="K112" s="195"/>
      <c r="L112" s="195"/>
      <c r="M112" s="195"/>
      <c r="N112" s="196"/>
      <c r="O112" s="195" t="str" cm="1">
        <f t="array" ref="O112">IFERROR(INDEX('Base de Dados'!$A$3:$M$4991,SMALL(IF('Base de Dados'!$F$3:$F$4991=$B$98,ROW('Base de Dados'!$F$3:$F$4991)-2),ROW(A52)),1),"-")</f>
        <v>-</v>
      </c>
      <c r="P112" s="195"/>
      <c r="Q112" s="195"/>
      <c r="R112" s="195"/>
      <c r="S112" s="195"/>
      <c r="T112" s="195"/>
      <c r="U112" s="196"/>
      <c r="V112" s="180" t="str" cm="1">
        <f t="array" ref="V112">IFERROR(INDEX('Base de Dados'!$A$3:$M$4991,SMALL(IF('Base de Dados'!$F$3:$F$4991=$B$98,ROW('Base de Dados'!$F$3:$F$4991)-2),ROW(A72)),1),"-")</f>
        <v>-</v>
      </c>
      <c r="W112" s="180"/>
      <c r="X112" s="180"/>
      <c r="Y112" s="180"/>
      <c r="Z112" s="180"/>
      <c r="AA112" s="180"/>
      <c r="AB112" s="181"/>
    </row>
    <row r="113" spans="1:28" x14ac:dyDescent="0.25">
      <c r="A113" s="195" t="str" cm="1">
        <f t="array" ref="A113">IFERROR(INDEX('Base de Dados'!$A$3:$M$4991,SMALL(IF('Base de Dados'!$F$3:$F$4991=$B$98,ROW('Base de Dados'!$F$3:$F$4991)-2),ROW(A13)),1),"-")</f>
        <v>-</v>
      </c>
      <c r="B113" s="195"/>
      <c r="C113" s="195"/>
      <c r="D113" s="195"/>
      <c r="E113" s="195"/>
      <c r="F113" s="195"/>
      <c r="G113" s="196"/>
      <c r="H113" s="197" t="str" cm="1">
        <f t="array" ref="H113">IFERROR(INDEX('Base de Dados'!$A$3:$M$4991,SMALL(IF('Base de Dados'!$F$3:$F$4991=$B$98,ROW('Base de Dados'!$F$3:$F$4991)-2),ROW(A33)),1),"-")</f>
        <v>-</v>
      </c>
      <c r="I113" s="195"/>
      <c r="J113" s="195"/>
      <c r="K113" s="195"/>
      <c r="L113" s="195"/>
      <c r="M113" s="195"/>
      <c r="N113" s="196"/>
      <c r="O113" s="195" t="str" cm="1">
        <f t="array" ref="O113">IFERROR(INDEX('Base de Dados'!$A$3:$M$4991,SMALL(IF('Base de Dados'!$F$3:$F$4991=$B$98,ROW('Base de Dados'!$F$3:$F$4991)-2),ROW(A53)),1),"-")</f>
        <v>-</v>
      </c>
      <c r="P113" s="195"/>
      <c r="Q113" s="195"/>
      <c r="R113" s="195"/>
      <c r="S113" s="195"/>
      <c r="T113" s="195"/>
      <c r="U113" s="196"/>
      <c r="V113" s="180" t="str" cm="1">
        <f t="array" ref="V113">IFERROR(INDEX('Base de Dados'!$A$3:$M$4991,SMALL(IF('Base de Dados'!$F$3:$F$4991=$B$98,ROW('Base de Dados'!$F$3:$F$4991)-2),ROW(A73)),1),"-")</f>
        <v>-</v>
      </c>
      <c r="W113" s="180"/>
      <c r="X113" s="180"/>
      <c r="Y113" s="180"/>
      <c r="Z113" s="180"/>
      <c r="AA113" s="180"/>
      <c r="AB113" s="181"/>
    </row>
    <row r="114" spans="1:28" x14ac:dyDescent="0.25">
      <c r="A114" s="195" t="str" cm="1">
        <f t="array" ref="A114">IFERROR(INDEX('Base de Dados'!$A$3:$M$4991,SMALL(IF('Base de Dados'!$F$3:$F$4991=$B$98,ROW('Base de Dados'!$F$3:$F$4991)-2),ROW(A14)),1),"-")</f>
        <v>-</v>
      </c>
      <c r="B114" s="195"/>
      <c r="C114" s="195"/>
      <c r="D114" s="195"/>
      <c r="E114" s="195"/>
      <c r="F114" s="195"/>
      <c r="G114" s="196"/>
      <c r="H114" s="197" t="str" cm="1">
        <f t="array" ref="H114">IFERROR(INDEX('Base de Dados'!$A$3:$M$4991,SMALL(IF('Base de Dados'!$F$3:$F$4991=$B$98,ROW('Base de Dados'!$F$3:$F$4991)-2),ROW(A34)),1),"-")</f>
        <v>-</v>
      </c>
      <c r="I114" s="195"/>
      <c r="J114" s="195"/>
      <c r="K114" s="195"/>
      <c r="L114" s="195"/>
      <c r="M114" s="195"/>
      <c r="N114" s="196"/>
      <c r="O114" s="195" t="str" cm="1">
        <f t="array" ref="O114">IFERROR(INDEX('Base de Dados'!$A$3:$M$4991,SMALL(IF('Base de Dados'!$F$3:$F$4991=$B$98,ROW('Base de Dados'!$F$3:$F$4991)-2),ROW(A54)),1),"-")</f>
        <v>-</v>
      </c>
      <c r="P114" s="195"/>
      <c r="Q114" s="195"/>
      <c r="R114" s="195"/>
      <c r="S114" s="195"/>
      <c r="T114" s="195"/>
      <c r="U114" s="196"/>
      <c r="V114" s="180" t="str" cm="1">
        <f t="array" ref="V114">IFERROR(INDEX('Base de Dados'!$A$3:$M$4991,SMALL(IF('Base de Dados'!$F$3:$F$4991=$B$98,ROW('Base de Dados'!$F$3:$F$4991)-2),ROW(A74)),1),"-")</f>
        <v>-</v>
      </c>
      <c r="W114" s="180"/>
      <c r="X114" s="180"/>
      <c r="Y114" s="180"/>
      <c r="Z114" s="180"/>
      <c r="AA114" s="180"/>
      <c r="AB114" s="181"/>
    </row>
    <row r="115" spans="1:28" x14ac:dyDescent="0.25">
      <c r="A115" s="195" t="str" cm="1">
        <f t="array" ref="A115">IFERROR(INDEX('Base de Dados'!$A$3:$M$4991,SMALL(IF('Base de Dados'!$F$3:$F$4991=$B$98,ROW('Base de Dados'!$F$3:$F$4991)-2),ROW(A15)),1),"-")</f>
        <v>-</v>
      </c>
      <c r="B115" s="195"/>
      <c r="C115" s="195"/>
      <c r="D115" s="195"/>
      <c r="E115" s="195"/>
      <c r="F115" s="195"/>
      <c r="G115" s="196"/>
      <c r="H115" s="197" t="str" cm="1">
        <f t="array" ref="H115">IFERROR(INDEX('Base de Dados'!$A$3:$M$4991,SMALL(IF('Base de Dados'!$F$3:$F$4991=$B$98,ROW('Base de Dados'!$F$3:$F$4991)-2),ROW(A35)),1),"-")</f>
        <v>-</v>
      </c>
      <c r="I115" s="195"/>
      <c r="J115" s="195"/>
      <c r="K115" s="195"/>
      <c r="L115" s="195"/>
      <c r="M115" s="195"/>
      <c r="N115" s="196"/>
      <c r="O115" s="195" t="str" cm="1">
        <f t="array" ref="O115">IFERROR(INDEX('Base de Dados'!$A$3:$M$4991,SMALL(IF('Base de Dados'!$F$3:$F$4991=$B$98,ROW('Base de Dados'!$F$3:$F$4991)-2),ROW(A55)),1),"-")</f>
        <v>-</v>
      </c>
      <c r="P115" s="195"/>
      <c r="Q115" s="195"/>
      <c r="R115" s="195"/>
      <c r="S115" s="195"/>
      <c r="T115" s="195"/>
      <c r="U115" s="196"/>
      <c r="V115" s="180" t="str" cm="1">
        <f t="array" ref="V115">IFERROR(INDEX('Base de Dados'!$A$3:$M$4991,SMALL(IF('Base de Dados'!$F$3:$F$4991=$B$98,ROW('Base de Dados'!$F$3:$F$4991)-2),ROW(A75)),1),"-")</f>
        <v>-</v>
      </c>
      <c r="W115" s="180"/>
      <c r="X115" s="180"/>
      <c r="Y115" s="180"/>
      <c r="Z115" s="180"/>
      <c r="AA115" s="180"/>
      <c r="AB115" s="181"/>
    </row>
    <row r="116" spans="1:28" x14ac:dyDescent="0.25">
      <c r="A116" s="195" t="str" cm="1">
        <f t="array" ref="A116">IFERROR(INDEX('Base de Dados'!$A$3:$M$4991,SMALL(IF('Base de Dados'!$F$3:$F$4991=$B$98,ROW('Base de Dados'!$F$3:$F$4991)-2),ROW(A16)),1),"-")</f>
        <v>-</v>
      </c>
      <c r="B116" s="195"/>
      <c r="C116" s="195"/>
      <c r="D116" s="195"/>
      <c r="E116" s="195"/>
      <c r="F116" s="195"/>
      <c r="G116" s="196"/>
      <c r="H116" s="197" t="str" cm="1">
        <f t="array" ref="H116">IFERROR(INDEX('Base de Dados'!$A$3:$M$4991,SMALL(IF('Base de Dados'!$F$3:$F$4991=$B$98,ROW('Base de Dados'!$F$3:$F$4991)-2),ROW(A36)),1),"-")</f>
        <v>-</v>
      </c>
      <c r="I116" s="195"/>
      <c r="J116" s="195"/>
      <c r="K116" s="195"/>
      <c r="L116" s="195"/>
      <c r="M116" s="195"/>
      <c r="N116" s="196"/>
      <c r="O116" s="195" t="str" cm="1">
        <f t="array" ref="O116">IFERROR(INDEX('Base de Dados'!$A$3:$M$4991,SMALL(IF('Base de Dados'!$F$3:$F$4991=$B$98,ROW('Base de Dados'!$F$3:$F$4991)-2),ROW(A56)),1),"-")</f>
        <v>-</v>
      </c>
      <c r="P116" s="195"/>
      <c r="Q116" s="195"/>
      <c r="R116" s="195"/>
      <c r="S116" s="195"/>
      <c r="T116" s="195"/>
      <c r="U116" s="196"/>
      <c r="V116" s="180" t="str" cm="1">
        <f t="array" ref="V116">IFERROR(INDEX('Base de Dados'!$A$3:$M$4991,SMALL(IF('Base de Dados'!$F$3:$F$4991=$B$98,ROW('Base de Dados'!$F$3:$F$4991)-2),ROW(A76)),1),"-")</f>
        <v>-</v>
      </c>
      <c r="W116" s="180"/>
      <c r="X116" s="180"/>
      <c r="Y116" s="180"/>
      <c r="Z116" s="180"/>
      <c r="AA116" s="180"/>
      <c r="AB116" s="181"/>
    </row>
    <row r="117" spans="1:28" x14ac:dyDescent="0.25">
      <c r="A117" s="195" t="str" cm="1">
        <f t="array" ref="A117">IFERROR(INDEX('Base de Dados'!$A$3:$M$4991,SMALL(IF('Base de Dados'!$F$3:$F$4991=$B$98,ROW('Base de Dados'!$F$3:$F$4991)-2),ROW(A17)),1),"-")</f>
        <v>-</v>
      </c>
      <c r="B117" s="195"/>
      <c r="C117" s="195"/>
      <c r="D117" s="195"/>
      <c r="E117" s="195"/>
      <c r="F117" s="195"/>
      <c r="G117" s="196"/>
      <c r="H117" s="197" t="str" cm="1">
        <f t="array" ref="H117">IFERROR(INDEX('Base de Dados'!$A$3:$M$4991,SMALL(IF('Base de Dados'!$F$3:$F$4991=$B$98,ROW('Base de Dados'!$F$3:$F$4991)-2),ROW(A37)),1),"-")</f>
        <v>-</v>
      </c>
      <c r="I117" s="195"/>
      <c r="J117" s="195"/>
      <c r="K117" s="195"/>
      <c r="L117" s="195"/>
      <c r="M117" s="195"/>
      <c r="N117" s="196"/>
      <c r="O117" s="195" t="str" cm="1">
        <f t="array" ref="O117">IFERROR(INDEX('Base de Dados'!$A$3:$M$4991,SMALL(IF('Base de Dados'!$F$3:$F$4991=$B$98,ROW('Base de Dados'!$F$3:$F$4991)-2),ROW(A57)),1),"-")</f>
        <v>-</v>
      </c>
      <c r="P117" s="195"/>
      <c r="Q117" s="195"/>
      <c r="R117" s="195"/>
      <c r="S117" s="195"/>
      <c r="T117" s="195"/>
      <c r="U117" s="196"/>
      <c r="V117" s="180" t="str" cm="1">
        <f t="array" ref="V117">IFERROR(INDEX('Base de Dados'!$A$3:$M$4991,SMALL(IF('Base de Dados'!$F$3:$F$4991=$B$98,ROW('Base de Dados'!$F$3:$F$4991)-2),ROW(A77)),1),"-")</f>
        <v>-</v>
      </c>
      <c r="W117" s="180"/>
      <c r="X117" s="180"/>
      <c r="Y117" s="180"/>
      <c r="Z117" s="180"/>
      <c r="AA117" s="180"/>
      <c r="AB117" s="181"/>
    </row>
    <row r="118" spans="1:28" x14ac:dyDescent="0.25">
      <c r="A118" s="195" t="str" cm="1">
        <f t="array" ref="A118">IFERROR(INDEX('Base de Dados'!$A$3:$M$4991,SMALL(IF('Base de Dados'!$F$3:$F$4991=$B$98,ROW('Base de Dados'!$F$3:$F$4991)-2),ROW(A18)),1),"-")</f>
        <v>-</v>
      </c>
      <c r="B118" s="195"/>
      <c r="C118" s="195"/>
      <c r="D118" s="195"/>
      <c r="E118" s="195"/>
      <c r="F118" s="195"/>
      <c r="G118" s="196"/>
      <c r="H118" s="197" t="str" cm="1">
        <f t="array" ref="H118">IFERROR(INDEX('Base de Dados'!$A$3:$M$4991,SMALL(IF('Base de Dados'!$F$3:$F$4991=$B$98,ROW('Base de Dados'!$F$3:$F$4991)-2),ROW(A38)),1),"-")</f>
        <v>-</v>
      </c>
      <c r="I118" s="195"/>
      <c r="J118" s="195"/>
      <c r="K118" s="195"/>
      <c r="L118" s="195"/>
      <c r="M118" s="195"/>
      <c r="N118" s="196"/>
      <c r="O118" s="195" t="str" cm="1">
        <f t="array" ref="O118">IFERROR(INDEX('Base de Dados'!$A$3:$M$4991,SMALL(IF('Base de Dados'!$F$3:$F$4991=$B$98,ROW('Base de Dados'!$F$3:$F$4991)-2),ROW(A58)),1),"-")</f>
        <v>-</v>
      </c>
      <c r="P118" s="195"/>
      <c r="Q118" s="195"/>
      <c r="R118" s="195"/>
      <c r="S118" s="195"/>
      <c r="T118" s="195"/>
      <c r="U118" s="196"/>
      <c r="V118" s="180" t="str" cm="1">
        <f t="array" ref="V118">IFERROR(INDEX('Base de Dados'!$A$3:$M$4991,SMALL(IF('Base de Dados'!$F$3:$F$4991=$B$98,ROW('Base de Dados'!$F$3:$F$4991)-2),ROW(A78)),1),"-")</f>
        <v>-</v>
      </c>
      <c r="W118" s="180"/>
      <c r="X118" s="180"/>
      <c r="Y118" s="180"/>
      <c r="Z118" s="180"/>
      <c r="AA118" s="180"/>
      <c r="AB118" s="181"/>
    </row>
    <row r="119" spans="1:28" x14ac:dyDescent="0.25">
      <c r="A119" s="195" t="str" cm="1">
        <f t="array" ref="A119">IFERROR(INDEX('Base de Dados'!$A$3:$M$4991,SMALL(IF('Base de Dados'!$F$3:$F$4991=$B$98,ROW('Base de Dados'!$F$3:$F$4991)-2),ROW(A19)),1),"-")</f>
        <v>-</v>
      </c>
      <c r="B119" s="195"/>
      <c r="C119" s="195"/>
      <c r="D119" s="195"/>
      <c r="E119" s="195"/>
      <c r="F119" s="195"/>
      <c r="G119" s="196"/>
      <c r="H119" s="197" t="str" cm="1">
        <f t="array" ref="H119">IFERROR(INDEX('Base de Dados'!$A$3:$M$4991,SMALL(IF('Base de Dados'!$F$3:$F$4991=$B$98,ROW('Base de Dados'!$F$3:$F$4991)-2),ROW(A39)),1),"-")</f>
        <v>-</v>
      </c>
      <c r="I119" s="195"/>
      <c r="J119" s="195"/>
      <c r="K119" s="195"/>
      <c r="L119" s="195"/>
      <c r="M119" s="195"/>
      <c r="N119" s="196"/>
      <c r="O119" s="195" t="str" cm="1">
        <f t="array" ref="O119">IFERROR(INDEX('Base de Dados'!$A$3:$M$4991,SMALL(IF('Base de Dados'!$F$3:$F$4991=$B$98,ROW('Base de Dados'!$F$3:$F$4991)-2),ROW(A59)),1),"-")</f>
        <v>-</v>
      </c>
      <c r="P119" s="195"/>
      <c r="Q119" s="195"/>
      <c r="R119" s="195"/>
      <c r="S119" s="195"/>
      <c r="T119" s="195"/>
      <c r="U119" s="196"/>
      <c r="V119" s="180" t="str" cm="1">
        <f t="array" ref="V119">IFERROR(INDEX('Base de Dados'!$A$3:$M$4991,SMALL(IF('Base de Dados'!$F$3:$F$4991=$B$98,ROW('Base de Dados'!$F$3:$F$4991)-2),ROW(A79)),1),"-")</f>
        <v>-</v>
      </c>
      <c r="W119" s="180"/>
      <c r="X119" s="180"/>
      <c r="Y119" s="180"/>
      <c r="Z119" s="180"/>
      <c r="AA119" s="180"/>
      <c r="AB119" s="181"/>
    </row>
    <row r="120" spans="1:28" x14ac:dyDescent="0.25">
      <c r="A120" s="195" t="str" cm="1">
        <f t="array" ref="A120">IFERROR(INDEX('Base de Dados'!$A$3:$M$4991,SMALL(IF('Base de Dados'!$F$3:$F$4991=$B$98,ROW('Base de Dados'!$F$3:$F$4991)-2),ROW(A20)),1),"-")</f>
        <v>-</v>
      </c>
      <c r="B120" s="195"/>
      <c r="C120" s="195"/>
      <c r="D120" s="195"/>
      <c r="E120" s="195"/>
      <c r="F120" s="195"/>
      <c r="G120" s="196"/>
      <c r="H120" s="197" t="str" cm="1">
        <f t="array" ref="H120">IFERROR(INDEX('Base de Dados'!$A$3:$M$4991,SMALL(IF('Base de Dados'!$F$3:$F$4991=$B$98,ROW('Base de Dados'!$F$3:$F$4991)-2),ROW(A40)),1),"-")</f>
        <v>-</v>
      </c>
      <c r="I120" s="195"/>
      <c r="J120" s="195"/>
      <c r="K120" s="195"/>
      <c r="L120" s="195"/>
      <c r="M120" s="195"/>
      <c r="N120" s="196"/>
      <c r="O120" s="195" t="str" cm="1">
        <f t="array" ref="O120">IFERROR(INDEX('Base de Dados'!$A$3:$M$4991,SMALL(IF('Base de Dados'!$F$3:$F$4991=$B$98,ROW('Base de Dados'!$F$3:$F$4991)-2),ROW(A60)),1),"-")</f>
        <v>-</v>
      </c>
      <c r="P120" s="195"/>
      <c r="Q120" s="195"/>
      <c r="R120" s="195"/>
      <c r="S120" s="195"/>
      <c r="T120" s="195"/>
      <c r="U120" s="196"/>
      <c r="V120" s="180" t="str" cm="1">
        <f t="array" ref="V120">IFERROR(INDEX('Base de Dados'!$A$3:$M$4991,SMALL(IF('Base de Dados'!$F$3:$F$4991=$B$98,ROW('Base de Dados'!$F$3:$F$4991)-2),ROW(A80)),1),"-")</f>
        <v>-</v>
      </c>
      <c r="W120" s="180"/>
      <c r="X120" s="180"/>
      <c r="Y120" s="180"/>
      <c r="Z120" s="180"/>
      <c r="AA120" s="180"/>
      <c r="AB120" s="181"/>
    </row>
  </sheetData>
  <mergeCells count="362"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82:G82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H68:N68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V63:AB63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V52:AB52"/>
    <mergeCell ref="V53:AB53"/>
    <mergeCell ref="V54:AB54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O67:U67"/>
    <mergeCell ref="H57:N57"/>
    <mergeCell ref="H58:N58"/>
    <mergeCell ref="H59:N59"/>
    <mergeCell ref="H60:N60"/>
    <mergeCell ref="H61:N61"/>
    <mergeCell ref="H62:N62"/>
    <mergeCell ref="V51:AB51"/>
    <mergeCell ref="H63:N63"/>
    <mergeCell ref="V84:AB84"/>
    <mergeCell ref="V85:AB85"/>
    <mergeCell ref="V64:AB64"/>
    <mergeCell ref="V65:AB65"/>
    <mergeCell ref="V66:AB66"/>
    <mergeCell ref="V67:AB67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82:AB82"/>
    <mergeCell ref="H79:N79"/>
    <mergeCell ref="H80:N80"/>
    <mergeCell ref="H81:N81"/>
    <mergeCell ref="H82:N82"/>
    <mergeCell ref="H83:N83"/>
    <mergeCell ref="H84:N84"/>
    <mergeCell ref="H85:N85"/>
    <mergeCell ref="V83:AB83"/>
    <mergeCell ref="V120:AB120"/>
    <mergeCell ref="A100:AB100"/>
    <mergeCell ref="A22:AB22"/>
    <mergeCell ref="A20:AB20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I4:L4"/>
    <mergeCell ref="J6:L6"/>
    <mergeCell ref="J7:L7"/>
    <mergeCell ref="J8:L8"/>
    <mergeCell ref="O1:Q1"/>
    <mergeCell ref="V104:AB104"/>
    <mergeCell ref="V105:AB105"/>
    <mergeCell ref="V106:AB106"/>
    <mergeCell ref="V107:AB107"/>
    <mergeCell ref="J10:L10"/>
    <mergeCell ref="J11:L11"/>
    <mergeCell ref="J12:L12"/>
    <mergeCell ref="J9:L9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A1" display="Clique para voltar à DASHBOARD" xr:uid="{5AA7227B-99F1-4161-A88D-E4B237337F97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Dados'!$A$3:$A$5023),1)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P165"/>
  <sheetViews>
    <sheetView workbookViewId="0">
      <pane ySplit="2" topLeftCell="A144" activePane="bottomLeft" state="frozen"/>
      <selection pane="bottomLeft" activeCell="D163" sqref="D163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5.85546875" style="7" customWidth="1"/>
  </cols>
  <sheetData>
    <row r="1" spans="1:14" ht="31.5" x14ac:dyDescent="0.25">
      <c r="A1" s="91" t="s">
        <v>747</v>
      </c>
      <c r="B1" s="232" t="s">
        <v>746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</row>
    <row r="2" spans="1:14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40" t="s">
        <v>11</v>
      </c>
      <c r="M2" s="40" t="s">
        <v>12</v>
      </c>
      <c r="N2" s="10" t="s">
        <v>13</v>
      </c>
    </row>
    <row r="3" spans="1:14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11">
        <f>IF(A3&lt;&gt;"", ROW(A3)-2, "")</f>
        <v>1</v>
      </c>
    </row>
    <row r="4" spans="1:14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11">
        <f t="shared" ref="N4:N67" si="0">IF(A4&lt;&gt;"", ROW(A4)-2, "")</f>
        <v>2</v>
      </c>
    </row>
    <row r="5" spans="1:14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11">
        <f t="shared" si="0"/>
        <v>3</v>
      </c>
    </row>
    <row r="6" spans="1:14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11">
        <f t="shared" si="0"/>
        <v>4</v>
      </c>
    </row>
    <row r="7" spans="1:14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11">
        <f t="shared" si="0"/>
        <v>5</v>
      </c>
    </row>
    <row r="8" spans="1:14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11">
        <f t="shared" si="0"/>
        <v>6</v>
      </c>
    </row>
    <row r="9" spans="1:14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11">
        <f t="shared" si="0"/>
        <v>7</v>
      </c>
    </row>
    <row r="10" spans="1:14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11">
        <f t="shared" si="0"/>
        <v>8</v>
      </c>
    </row>
    <row r="11" spans="1:14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11">
        <f t="shared" si="0"/>
        <v>9</v>
      </c>
    </row>
    <row r="12" spans="1:14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11">
        <f t="shared" si="0"/>
        <v>10</v>
      </c>
    </row>
    <row r="13" spans="1:14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11">
        <f t="shared" si="0"/>
        <v>11</v>
      </c>
    </row>
    <row r="14" spans="1:14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11">
        <f t="shared" si="0"/>
        <v>12</v>
      </c>
    </row>
    <row r="15" spans="1:14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11">
        <f t="shared" si="0"/>
        <v>13</v>
      </c>
    </row>
    <row r="16" spans="1:14" x14ac:dyDescent="0.25">
      <c r="A16" s="8" t="s">
        <v>97</v>
      </c>
      <c r="B16" s="8" t="s">
        <v>32</v>
      </c>
      <c r="C16" s="8" t="s">
        <v>98</v>
      </c>
      <c r="D16" s="8" t="s">
        <v>17</v>
      </c>
      <c r="E16" s="8" t="s">
        <v>18</v>
      </c>
      <c r="F16" s="8" t="s">
        <v>99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100</v>
      </c>
      <c r="M16" s="8" t="s">
        <v>37</v>
      </c>
      <c r="N16" s="11">
        <f t="shared" si="0"/>
        <v>14</v>
      </c>
    </row>
    <row r="17" spans="1:14" x14ac:dyDescent="0.25">
      <c r="A17" s="8" t="s">
        <v>101</v>
      </c>
      <c r="B17" s="8" t="s">
        <v>53</v>
      </c>
      <c r="C17" s="8" t="s">
        <v>102</v>
      </c>
      <c r="D17" s="8" t="s">
        <v>17</v>
      </c>
      <c r="E17" s="8" t="s">
        <v>18</v>
      </c>
      <c r="F17" s="8" t="s">
        <v>103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104</v>
      </c>
      <c r="M17" s="8" t="s">
        <v>30</v>
      </c>
      <c r="N17" s="11">
        <f t="shared" si="0"/>
        <v>15</v>
      </c>
    </row>
    <row r="18" spans="1:14" x14ac:dyDescent="0.25">
      <c r="A18" s="8" t="s">
        <v>105</v>
      </c>
      <c r="B18" s="8" t="s">
        <v>32</v>
      </c>
      <c r="C18" s="8" t="s">
        <v>106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107</v>
      </c>
      <c r="M18" s="8" t="s">
        <v>68</v>
      </c>
      <c r="N18" s="11">
        <f t="shared" si="0"/>
        <v>16</v>
      </c>
    </row>
    <row r="19" spans="1:14" x14ac:dyDescent="0.25">
      <c r="A19" s="8" t="s">
        <v>108</v>
      </c>
      <c r="B19" s="8" t="s">
        <v>109</v>
      </c>
      <c r="C19" s="8" t="s">
        <v>110</v>
      </c>
      <c r="D19" s="8" t="s">
        <v>17</v>
      </c>
      <c r="E19" s="8" t="s">
        <v>18</v>
      </c>
      <c r="F19" s="8" t="s">
        <v>111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112</v>
      </c>
      <c r="M19" s="8" t="s">
        <v>113</v>
      </c>
      <c r="N19" s="11">
        <f t="shared" si="0"/>
        <v>17</v>
      </c>
    </row>
    <row r="20" spans="1:14" x14ac:dyDescent="0.25">
      <c r="A20" s="8" t="s">
        <v>114</v>
      </c>
      <c r="B20" s="8" t="s">
        <v>115</v>
      </c>
      <c r="C20" s="8" t="s">
        <v>116</v>
      </c>
      <c r="D20" s="8" t="s">
        <v>17</v>
      </c>
      <c r="E20" s="8" t="s">
        <v>18</v>
      </c>
      <c r="F20" s="8" t="s">
        <v>117</v>
      </c>
      <c r="G20" s="8">
        <v>1987</v>
      </c>
      <c r="H20" s="8" t="s">
        <v>116</v>
      </c>
      <c r="I20" s="8" t="s">
        <v>21</v>
      </c>
      <c r="J20" s="8">
        <v>236</v>
      </c>
      <c r="K20" s="8"/>
      <c r="L20" s="8" t="s">
        <v>118</v>
      </c>
      <c r="M20" s="8" t="s">
        <v>68</v>
      </c>
      <c r="N20" s="11">
        <f t="shared" si="0"/>
        <v>18</v>
      </c>
    </row>
    <row r="21" spans="1:14" x14ac:dyDescent="0.25">
      <c r="A21" s="8" t="s">
        <v>119</v>
      </c>
      <c r="B21" s="8" t="s">
        <v>120</v>
      </c>
      <c r="C21" s="8" t="s">
        <v>121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122</v>
      </c>
      <c r="L21" s="8" t="s">
        <v>123</v>
      </c>
      <c r="M21" s="8" t="s">
        <v>124</v>
      </c>
      <c r="N21" s="11">
        <f t="shared" si="0"/>
        <v>19</v>
      </c>
    </row>
    <row r="22" spans="1:14" x14ac:dyDescent="0.25">
      <c r="A22" s="8" t="s">
        <v>125</v>
      </c>
      <c r="B22" s="8" t="s">
        <v>126</v>
      </c>
      <c r="C22" s="8" t="s">
        <v>127</v>
      </c>
      <c r="D22" s="8" t="s">
        <v>17</v>
      </c>
      <c r="E22" s="8" t="s">
        <v>18</v>
      </c>
      <c r="F22" s="8" t="s">
        <v>128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129</v>
      </c>
      <c r="L22" s="8" t="s">
        <v>130</v>
      </c>
      <c r="M22" s="8" t="s">
        <v>51</v>
      </c>
      <c r="N22" s="11">
        <f t="shared" si="0"/>
        <v>20</v>
      </c>
    </row>
    <row r="23" spans="1:14" x14ac:dyDescent="0.25">
      <c r="A23" s="8" t="s">
        <v>131</v>
      </c>
      <c r="B23" s="8" t="s">
        <v>132</v>
      </c>
      <c r="C23" s="8" t="s">
        <v>133</v>
      </c>
      <c r="D23" s="8" t="s">
        <v>18</v>
      </c>
      <c r="E23" s="8">
        <v>7</v>
      </c>
      <c r="F23" s="8" t="s">
        <v>134</v>
      </c>
      <c r="G23" s="8">
        <v>2013</v>
      </c>
      <c r="H23" s="8" t="s">
        <v>131</v>
      </c>
      <c r="I23" s="8" t="s">
        <v>21</v>
      </c>
      <c r="J23" s="8">
        <v>186</v>
      </c>
      <c r="K23" s="8"/>
      <c r="L23" s="8" t="s">
        <v>135</v>
      </c>
      <c r="M23" s="8" t="s">
        <v>136</v>
      </c>
      <c r="N23" s="11">
        <f t="shared" si="0"/>
        <v>21</v>
      </c>
    </row>
    <row r="24" spans="1:14" x14ac:dyDescent="0.25">
      <c r="A24" s="8" t="s">
        <v>137</v>
      </c>
      <c r="B24" s="8" t="s">
        <v>132</v>
      </c>
      <c r="C24" s="8" t="s">
        <v>138</v>
      </c>
      <c r="D24" s="8" t="s">
        <v>18</v>
      </c>
      <c r="E24" s="8">
        <v>16</v>
      </c>
      <c r="F24" s="8" t="s">
        <v>139</v>
      </c>
      <c r="G24" s="8" t="s">
        <v>140</v>
      </c>
      <c r="H24" s="8" t="s">
        <v>137</v>
      </c>
      <c r="I24" s="8" t="s">
        <v>21</v>
      </c>
      <c r="J24" s="8">
        <v>92</v>
      </c>
      <c r="K24" s="8"/>
      <c r="L24" s="8" t="s">
        <v>141</v>
      </c>
      <c r="M24" s="8" t="s">
        <v>136</v>
      </c>
      <c r="N24" s="11">
        <f t="shared" si="0"/>
        <v>22</v>
      </c>
    </row>
    <row r="25" spans="1:14" x14ac:dyDescent="0.25">
      <c r="A25" s="8" t="s">
        <v>142</v>
      </c>
      <c r="B25" s="8" t="s">
        <v>126</v>
      </c>
      <c r="C25" s="8" t="s">
        <v>143</v>
      </c>
      <c r="D25" s="8" t="s">
        <v>144</v>
      </c>
      <c r="E25" s="8" t="s">
        <v>18</v>
      </c>
      <c r="F25" s="8" t="s">
        <v>145</v>
      </c>
      <c r="G25" s="8">
        <v>2013</v>
      </c>
      <c r="H25" s="8" t="s">
        <v>146</v>
      </c>
      <c r="I25" s="8" t="s">
        <v>147</v>
      </c>
      <c r="J25" s="8">
        <v>807</v>
      </c>
      <c r="K25" s="8"/>
      <c r="L25" s="8" t="s">
        <v>148</v>
      </c>
      <c r="M25" s="8" t="s">
        <v>51</v>
      </c>
      <c r="N25" s="11">
        <f t="shared" si="0"/>
        <v>23</v>
      </c>
    </row>
    <row r="26" spans="1:14" x14ac:dyDescent="0.25">
      <c r="A26" s="8" t="s">
        <v>149</v>
      </c>
      <c r="B26" s="8" t="s">
        <v>126</v>
      </c>
      <c r="C26" s="8" t="s">
        <v>150</v>
      </c>
      <c r="D26" s="8" t="s">
        <v>17</v>
      </c>
      <c r="E26" s="8" t="s">
        <v>18</v>
      </c>
      <c r="F26" s="8" t="s">
        <v>151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152</v>
      </c>
      <c r="M26" s="8" t="s">
        <v>51</v>
      </c>
      <c r="N26" s="11">
        <f t="shared" si="0"/>
        <v>24</v>
      </c>
    </row>
    <row r="27" spans="1:14" x14ac:dyDescent="0.25">
      <c r="A27" s="8" t="s">
        <v>153</v>
      </c>
      <c r="B27" s="8" t="s">
        <v>132</v>
      </c>
      <c r="C27" s="8" t="s">
        <v>154</v>
      </c>
      <c r="D27" s="8" t="s">
        <v>18</v>
      </c>
      <c r="E27" s="8">
        <v>10</v>
      </c>
      <c r="F27" s="8" t="s">
        <v>134</v>
      </c>
      <c r="G27" s="8" t="s">
        <v>140</v>
      </c>
      <c r="H27" s="8" t="s">
        <v>18</v>
      </c>
      <c r="I27" s="8" t="s">
        <v>21</v>
      </c>
      <c r="J27" s="8">
        <v>100</v>
      </c>
      <c r="K27" s="8"/>
      <c r="L27" s="8" t="s">
        <v>155</v>
      </c>
      <c r="M27" s="8" t="s">
        <v>136</v>
      </c>
      <c r="N27" s="11">
        <f t="shared" si="0"/>
        <v>25</v>
      </c>
    </row>
    <row r="28" spans="1:14" x14ac:dyDescent="0.25">
      <c r="A28" s="8" t="s">
        <v>156</v>
      </c>
      <c r="B28" s="8" t="s">
        <v>120</v>
      </c>
      <c r="C28" s="8" t="s">
        <v>121</v>
      </c>
      <c r="D28" s="8" t="s">
        <v>157</v>
      </c>
      <c r="E28" s="8" t="s">
        <v>18</v>
      </c>
      <c r="F28" s="8">
        <v>34</v>
      </c>
      <c r="G28" s="8">
        <v>2011</v>
      </c>
      <c r="H28" s="8" t="s">
        <v>158</v>
      </c>
      <c r="I28" s="8" t="s">
        <v>21</v>
      </c>
      <c r="J28" s="8">
        <v>225</v>
      </c>
      <c r="K28" s="8" t="s">
        <v>122</v>
      </c>
      <c r="L28" s="8" t="s">
        <v>159</v>
      </c>
      <c r="M28" s="8" t="s">
        <v>124</v>
      </c>
      <c r="N28" s="11">
        <f t="shared" si="0"/>
        <v>26</v>
      </c>
    </row>
    <row r="29" spans="1:14" x14ac:dyDescent="0.25">
      <c r="A29" s="8" t="s">
        <v>160</v>
      </c>
      <c r="B29" s="8" t="s">
        <v>120</v>
      </c>
      <c r="C29" s="8" t="s">
        <v>161</v>
      </c>
      <c r="D29" s="8" t="s">
        <v>17</v>
      </c>
      <c r="E29" s="8" t="s">
        <v>18</v>
      </c>
      <c r="F29" s="8" t="s">
        <v>162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163</v>
      </c>
      <c r="M29" s="8" t="s">
        <v>85</v>
      </c>
      <c r="N29" s="11">
        <f t="shared" si="0"/>
        <v>27</v>
      </c>
    </row>
    <row r="30" spans="1:14" x14ac:dyDescent="0.25">
      <c r="A30" s="8" t="s">
        <v>164</v>
      </c>
      <c r="B30" s="8" t="s">
        <v>126</v>
      </c>
      <c r="C30" s="8" t="s">
        <v>127</v>
      </c>
      <c r="D30" s="8" t="s">
        <v>55</v>
      </c>
      <c r="E30" s="8" t="s">
        <v>18</v>
      </c>
      <c r="F30" s="8" t="s">
        <v>128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165</v>
      </c>
      <c r="M30" s="8" t="s">
        <v>51</v>
      </c>
      <c r="N30" s="11">
        <f t="shared" si="0"/>
        <v>28</v>
      </c>
    </row>
    <row r="31" spans="1:14" x14ac:dyDescent="0.25">
      <c r="A31" s="8" t="s">
        <v>166</v>
      </c>
      <c r="B31" s="8" t="s">
        <v>120</v>
      </c>
      <c r="C31" s="8" t="s">
        <v>167</v>
      </c>
      <c r="D31" s="8" t="s">
        <v>17</v>
      </c>
      <c r="E31" s="8" t="s">
        <v>18</v>
      </c>
      <c r="F31" s="8" t="s">
        <v>168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169</v>
      </c>
      <c r="M31" s="8" t="s">
        <v>124</v>
      </c>
      <c r="N31" s="11">
        <f t="shared" si="0"/>
        <v>29</v>
      </c>
    </row>
    <row r="32" spans="1:14" x14ac:dyDescent="0.25">
      <c r="A32" s="8" t="s">
        <v>170</v>
      </c>
      <c r="B32" s="8" t="s">
        <v>171</v>
      </c>
      <c r="C32" s="8" t="s">
        <v>172</v>
      </c>
      <c r="D32" s="8" t="s">
        <v>17</v>
      </c>
      <c r="E32" s="8" t="s">
        <v>18</v>
      </c>
      <c r="F32" s="8" t="s">
        <v>173</v>
      </c>
      <c r="G32" s="8">
        <v>2007</v>
      </c>
      <c r="H32" s="8" t="s">
        <v>18</v>
      </c>
      <c r="I32" s="8" t="s">
        <v>21</v>
      </c>
      <c r="J32" s="8" t="s">
        <v>174</v>
      </c>
      <c r="K32" s="8">
        <v>741</v>
      </c>
      <c r="L32" s="8" t="s">
        <v>175</v>
      </c>
      <c r="M32" s="8" t="s">
        <v>176</v>
      </c>
      <c r="N32" s="11">
        <f t="shared" si="0"/>
        <v>30</v>
      </c>
    </row>
    <row r="33" spans="1:14" x14ac:dyDescent="0.25">
      <c r="A33" s="8" t="s">
        <v>177</v>
      </c>
      <c r="B33" s="8" t="s">
        <v>126</v>
      </c>
      <c r="C33" s="8" t="s">
        <v>178</v>
      </c>
      <c r="D33" s="8" t="s">
        <v>17</v>
      </c>
      <c r="E33" s="8" t="s">
        <v>18</v>
      </c>
      <c r="F33" s="8" t="s">
        <v>128</v>
      </c>
      <c r="G33" s="8">
        <v>2014</v>
      </c>
      <c r="H33" s="8" t="s">
        <v>179</v>
      </c>
      <c r="I33" s="8" t="s">
        <v>21</v>
      </c>
      <c r="J33" s="8">
        <v>472</v>
      </c>
      <c r="K33" s="8">
        <v>813</v>
      </c>
      <c r="L33" s="8" t="s">
        <v>180</v>
      </c>
      <c r="M33" s="8" t="s">
        <v>51</v>
      </c>
      <c r="N33" s="11">
        <f t="shared" si="0"/>
        <v>31</v>
      </c>
    </row>
    <row r="34" spans="1:14" x14ac:dyDescent="0.25">
      <c r="A34" s="8" t="s">
        <v>181</v>
      </c>
      <c r="B34" s="8" t="s">
        <v>126</v>
      </c>
      <c r="C34" s="8" t="s">
        <v>178</v>
      </c>
      <c r="D34" s="8" t="s">
        <v>17</v>
      </c>
      <c r="E34" s="8" t="s">
        <v>18</v>
      </c>
      <c r="F34" s="8" t="s">
        <v>128</v>
      </c>
      <c r="G34" s="8">
        <v>2014</v>
      </c>
      <c r="H34" s="8" t="s">
        <v>179</v>
      </c>
      <c r="I34" s="8" t="s">
        <v>21</v>
      </c>
      <c r="J34" s="8">
        <v>495</v>
      </c>
      <c r="K34" s="8">
        <v>813</v>
      </c>
      <c r="L34" s="8" t="s">
        <v>182</v>
      </c>
      <c r="M34" s="8" t="s">
        <v>51</v>
      </c>
      <c r="N34" s="11">
        <f t="shared" si="0"/>
        <v>32</v>
      </c>
    </row>
    <row r="35" spans="1:14" x14ac:dyDescent="0.25">
      <c r="A35" s="8" t="s">
        <v>183</v>
      </c>
      <c r="B35" s="8" t="s">
        <v>126</v>
      </c>
      <c r="C35" s="8" t="s">
        <v>178</v>
      </c>
      <c r="D35" s="8" t="s">
        <v>17</v>
      </c>
      <c r="E35" s="8" t="s">
        <v>18</v>
      </c>
      <c r="F35" s="8" t="s">
        <v>128</v>
      </c>
      <c r="G35" s="8">
        <v>2014</v>
      </c>
      <c r="H35" s="8" t="s">
        <v>179</v>
      </c>
      <c r="I35" s="8" t="s">
        <v>21</v>
      </c>
      <c r="J35" s="8">
        <v>523</v>
      </c>
      <c r="K35" s="8">
        <v>813</v>
      </c>
      <c r="L35" s="8" t="s">
        <v>184</v>
      </c>
      <c r="M35" s="8" t="s">
        <v>51</v>
      </c>
      <c r="N35" s="11">
        <f t="shared" si="0"/>
        <v>33</v>
      </c>
    </row>
    <row r="36" spans="1:14" x14ac:dyDescent="0.25">
      <c r="A36" s="8" t="s">
        <v>185</v>
      </c>
      <c r="B36" s="8" t="s">
        <v>171</v>
      </c>
      <c r="C36" s="8" t="s">
        <v>186</v>
      </c>
      <c r="D36" s="8" t="s">
        <v>17</v>
      </c>
      <c r="E36" s="8" t="s">
        <v>18</v>
      </c>
      <c r="F36" s="8" t="s">
        <v>187</v>
      </c>
      <c r="G36" s="8">
        <v>2014</v>
      </c>
      <c r="H36" s="8" t="s">
        <v>18</v>
      </c>
      <c r="I36" s="8" t="s">
        <v>147</v>
      </c>
      <c r="J36" s="8">
        <v>414</v>
      </c>
      <c r="K36" s="8"/>
      <c r="L36" s="8" t="s">
        <v>188</v>
      </c>
      <c r="M36" s="8" t="s">
        <v>68</v>
      </c>
      <c r="N36" s="11">
        <f t="shared" si="0"/>
        <v>34</v>
      </c>
    </row>
    <row r="37" spans="1:14" x14ac:dyDescent="0.25">
      <c r="A37" s="8" t="s">
        <v>189</v>
      </c>
      <c r="B37" s="8" t="s">
        <v>126</v>
      </c>
      <c r="C37" s="8" t="s">
        <v>190</v>
      </c>
      <c r="D37" s="8" t="s">
        <v>17</v>
      </c>
      <c r="E37" s="8" t="s">
        <v>18</v>
      </c>
      <c r="F37" s="8" t="s">
        <v>191</v>
      </c>
      <c r="G37" s="8">
        <v>1998</v>
      </c>
      <c r="H37" s="8" t="s">
        <v>18</v>
      </c>
      <c r="I37" s="8" t="s">
        <v>147</v>
      </c>
      <c r="J37" s="8">
        <v>237</v>
      </c>
      <c r="K37" s="8"/>
      <c r="L37" s="8" t="s">
        <v>192</v>
      </c>
      <c r="M37" s="8" t="s">
        <v>51</v>
      </c>
      <c r="N37" s="11">
        <f t="shared" si="0"/>
        <v>35</v>
      </c>
    </row>
    <row r="38" spans="1:14" x14ac:dyDescent="0.25">
      <c r="A38" s="8" t="s">
        <v>193</v>
      </c>
      <c r="B38" s="8" t="s">
        <v>126</v>
      </c>
      <c r="C38" s="8" t="s">
        <v>194</v>
      </c>
      <c r="D38" s="8" t="s">
        <v>17</v>
      </c>
      <c r="E38" s="8" t="s">
        <v>18</v>
      </c>
      <c r="F38" s="8" t="s">
        <v>195</v>
      </c>
      <c r="G38" s="8">
        <v>2010</v>
      </c>
      <c r="H38" s="8" t="s">
        <v>196</v>
      </c>
      <c r="I38" s="8" t="s">
        <v>147</v>
      </c>
      <c r="J38" s="8">
        <v>278</v>
      </c>
      <c r="K38" s="8">
        <v>813</v>
      </c>
      <c r="L38" s="8" t="s">
        <v>197</v>
      </c>
      <c r="M38" s="8" t="s">
        <v>51</v>
      </c>
      <c r="N38" s="11">
        <f t="shared" si="0"/>
        <v>36</v>
      </c>
    </row>
    <row r="39" spans="1:14" x14ac:dyDescent="0.25">
      <c r="A39" s="8" t="s">
        <v>198</v>
      </c>
      <c r="B39" s="8" t="s">
        <v>199</v>
      </c>
      <c r="C39" s="8" t="s">
        <v>200</v>
      </c>
      <c r="D39" s="8" t="s">
        <v>201</v>
      </c>
      <c r="E39" s="8" t="s">
        <v>18</v>
      </c>
      <c r="F39" s="8" t="s">
        <v>117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202</v>
      </c>
      <c r="L39" s="8" t="s">
        <v>203</v>
      </c>
      <c r="M39" s="8" t="s">
        <v>30</v>
      </c>
      <c r="N39" s="11">
        <f t="shared" si="0"/>
        <v>37</v>
      </c>
    </row>
    <row r="40" spans="1:14" x14ac:dyDescent="0.25">
      <c r="A40" s="8" t="s">
        <v>204</v>
      </c>
      <c r="B40" s="8" t="s">
        <v>205</v>
      </c>
      <c r="C40" s="8" t="s">
        <v>206</v>
      </c>
      <c r="D40" s="8" t="s">
        <v>17</v>
      </c>
      <c r="E40" s="8" t="s">
        <v>18</v>
      </c>
      <c r="F40" s="8" t="s">
        <v>207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208</v>
      </c>
      <c r="L40" s="8" t="s">
        <v>209</v>
      </c>
      <c r="M40" s="8" t="s">
        <v>30</v>
      </c>
      <c r="N40" s="11">
        <f t="shared" si="0"/>
        <v>38</v>
      </c>
    </row>
    <row r="41" spans="1:14" x14ac:dyDescent="0.25">
      <c r="A41" s="8" t="s">
        <v>210</v>
      </c>
      <c r="B41" s="8" t="s">
        <v>199</v>
      </c>
      <c r="C41" s="8" t="s">
        <v>211</v>
      </c>
      <c r="D41" s="8" t="s">
        <v>17</v>
      </c>
      <c r="E41" s="8" t="s">
        <v>18</v>
      </c>
      <c r="F41" s="8" t="s">
        <v>212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213</v>
      </c>
      <c r="M41" s="8" t="s">
        <v>30</v>
      </c>
      <c r="N41" s="11">
        <f t="shared" si="0"/>
        <v>39</v>
      </c>
    </row>
    <row r="42" spans="1:14" x14ac:dyDescent="0.25">
      <c r="A42" s="8" t="s">
        <v>214</v>
      </c>
      <c r="B42" s="8" t="s">
        <v>205</v>
      </c>
      <c r="C42" s="8" t="s">
        <v>215</v>
      </c>
      <c r="D42" s="8" t="s">
        <v>63</v>
      </c>
      <c r="E42" s="8" t="s">
        <v>18</v>
      </c>
      <c r="F42" s="8" t="s">
        <v>207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208</v>
      </c>
      <c r="L42" s="8" t="s">
        <v>216</v>
      </c>
      <c r="M42" s="8" t="s">
        <v>30</v>
      </c>
      <c r="N42" s="11">
        <f t="shared" si="0"/>
        <v>40</v>
      </c>
    </row>
    <row r="43" spans="1:14" x14ac:dyDescent="0.25">
      <c r="A43" s="8" t="s">
        <v>217</v>
      </c>
      <c r="B43" s="8" t="s">
        <v>120</v>
      </c>
      <c r="C43" s="8" t="s">
        <v>218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219</v>
      </c>
      <c r="M43" s="8" t="s">
        <v>220</v>
      </c>
      <c r="N43" s="11">
        <f t="shared" si="0"/>
        <v>41</v>
      </c>
    </row>
    <row r="44" spans="1:14" x14ac:dyDescent="0.25">
      <c r="A44" s="8" t="s">
        <v>221</v>
      </c>
      <c r="B44" s="8" t="s">
        <v>120</v>
      </c>
      <c r="C44" s="8" t="s">
        <v>218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222</v>
      </c>
      <c r="M44" s="8" t="s">
        <v>220</v>
      </c>
      <c r="N44" s="11">
        <f t="shared" si="0"/>
        <v>42</v>
      </c>
    </row>
    <row r="45" spans="1:14" x14ac:dyDescent="0.25">
      <c r="A45" s="8" t="s">
        <v>223</v>
      </c>
      <c r="B45" s="8" t="s">
        <v>126</v>
      </c>
      <c r="C45" s="8" t="s">
        <v>224</v>
      </c>
      <c r="D45" s="8" t="s">
        <v>225</v>
      </c>
      <c r="E45" s="8">
        <v>2</v>
      </c>
      <c r="F45" s="8" t="s">
        <v>145</v>
      </c>
      <c r="G45" s="8">
        <v>2001</v>
      </c>
      <c r="H45" s="8" t="s">
        <v>226</v>
      </c>
      <c r="I45" s="8" t="s">
        <v>147</v>
      </c>
      <c r="J45" s="8">
        <v>960</v>
      </c>
      <c r="K45" s="8"/>
      <c r="L45" s="8" t="s">
        <v>227</v>
      </c>
      <c r="M45" s="8" t="s">
        <v>228</v>
      </c>
      <c r="N45" s="11">
        <f t="shared" si="0"/>
        <v>43</v>
      </c>
    </row>
    <row r="46" spans="1:14" x14ac:dyDescent="0.25">
      <c r="A46" s="8" t="s">
        <v>229</v>
      </c>
      <c r="B46" s="8" t="s">
        <v>120</v>
      </c>
      <c r="C46" s="8" t="s">
        <v>230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231</v>
      </c>
      <c r="M46" s="8" t="s">
        <v>232</v>
      </c>
      <c r="N46" s="11">
        <f t="shared" si="0"/>
        <v>44</v>
      </c>
    </row>
    <row r="47" spans="1:14" x14ac:dyDescent="0.25">
      <c r="A47" s="8" t="s">
        <v>233</v>
      </c>
      <c r="B47" s="8" t="s">
        <v>120</v>
      </c>
      <c r="C47" s="8" t="s">
        <v>230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234</v>
      </c>
      <c r="M47" s="8" t="s">
        <v>232</v>
      </c>
      <c r="N47" s="11">
        <f t="shared" si="0"/>
        <v>45</v>
      </c>
    </row>
    <row r="48" spans="1:14" x14ac:dyDescent="0.25">
      <c r="A48" s="8" t="s">
        <v>235</v>
      </c>
      <c r="B48" s="8" t="s">
        <v>236</v>
      </c>
      <c r="C48" s="8" t="s">
        <v>237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238</v>
      </c>
      <c r="M48" s="8" t="s">
        <v>239</v>
      </c>
      <c r="N48" s="11">
        <f t="shared" si="0"/>
        <v>46</v>
      </c>
    </row>
    <row r="49" spans="1:14" x14ac:dyDescent="0.25">
      <c r="A49" s="8" t="s">
        <v>240</v>
      </c>
      <c r="B49" s="8" t="s">
        <v>120</v>
      </c>
      <c r="C49" s="8" t="s">
        <v>241</v>
      </c>
      <c r="D49" s="8" t="s">
        <v>242</v>
      </c>
      <c r="E49" s="8" t="s">
        <v>18</v>
      </c>
      <c r="F49" s="8" t="s">
        <v>243</v>
      </c>
      <c r="G49" s="8">
        <v>1994</v>
      </c>
      <c r="H49" s="8" t="s">
        <v>244</v>
      </c>
      <c r="I49" s="8" t="s">
        <v>147</v>
      </c>
      <c r="J49" s="8">
        <v>367</v>
      </c>
      <c r="K49" s="8"/>
      <c r="L49" s="8" t="s">
        <v>245</v>
      </c>
      <c r="M49" s="8" t="s">
        <v>68</v>
      </c>
      <c r="N49" s="11">
        <f t="shared" si="0"/>
        <v>47</v>
      </c>
    </row>
    <row r="50" spans="1:14" x14ac:dyDescent="0.25">
      <c r="A50" s="8" t="s">
        <v>246</v>
      </c>
      <c r="B50" s="8" t="s">
        <v>126</v>
      </c>
      <c r="C50" s="8" t="s">
        <v>247</v>
      </c>
      <c r="D50" s="8" t="s">
        <v>17</v>
      </c>
      <c r="E50" s="8" t="s">
        <v>18</v>
      </c>
      <c r="F50" s="8" t="s">
        <v>195</v>
      </c>
      <c r="G50" s="8">
        <v>2000</v>
      </c>
      <c r="H50" s="8" t="s">
        <v>18</v>
      </c>
      <c r="I50" s="8" t="s">
        <v>147</v>
      </c>
      <c r="J50" s="8">
        <v>189</v>
      </c>
      <c r="K50" s="8"/>
      <c r="L50" s="8" t="s">
        <v>248</v>
      </c>
      <c r="M50" s="8" t="s">
        <v>51</v>
      </c>
      <c r="N50" s="11">
        <f t="shared" si="0"/>
        <v>48</v>
      </c>
    </row>
    <row r="51" spans="1:14" x14ac:dyDescent="0.25">
      <c r="A51" s="8" t="s">
        <v>249</v>
      </c>
      <c r="B51" s="8" t="s">
        <v>120</v>
      </c>
      <c r="C51" s="8" t="s">
        <v>250</v>
      </c>
      <c r="D51" s="8" t="s">
        <v>157</v>
      </c>
      <c r="E51" s="8" t="s">
        <v>18</v>
      </c>
      <c r="F51" s="8" t="s">
        <v>251</v>
      </c>
      <c r="G51" s="8" t="s">
        <v>174</v>
      </c>
      <c r="H51" s="8" t="s">
        <v>252</v>
      </c>
      <c r="I51" s="8" t="s">
        <v>21</v>
      </c>
      <c r="J51" s="8">
        <v>324</v>
      </c>
      <c r="K51" s="8" t="s">
        <v>253</v>
      </c>
      <c r="L51" s="8" t="s">
        <v>254</v>
      </c>
      <c r="M51" s="8" t="s">
        <v>30</v>
      </c>
      <c r="N51" s="11">
        <f t="shared" si="0"/>
        <v>49</v>
      </c>
    </row>
    <row r="52" spans="1:14" x14ac:dyDescent="0.25">
      <c r="A52" s="8" t="s">
        <v>255</v>
      </c>
      <c r="B52" s="8" t="s">
        <v>120</v>
      </c>
      <c r="C52" s="8" t="s">
        <v>256</v>
      </c>
      <c r="D52" s="8" t="s">
        <v>242</v>
      </c>
      <c r="E52" s="8" t="s">
        <v>18</v>
      </c>
      <c r="F52" s="8" t="s">
        <v>257</v>
      </c>
      <c r="G52" s="8" t="s">
        <v>258</v>
      </c>
      <c r="H52" s="8" t="s">
        <v>18</v>
      </c>
      <c r="I52" s="8" t="s">
        <v>21</v>
      </c>
      <c r="J52" s="8">
        <v>330</v>
      </c>
      <c r="K52" s="8"/>
      <c r="L52" s="8" t="s">
        <v>259</v>
      </c>
      <c r="M52" s="8" t="s">
        <v>30</v>
      </c>
      <c r="N52" s="11">
        <f t="shared" si="0"/>
        <v>50</v>
      </c>
    </row>
    <row r="53" spans="1:14" x14ac:dyDescent="0.25">
      <c r="A53" s="8" t="s">
        <v>260</v>
      </c>
      <c r="B53" s="8" t="s">
        <v>126</v>
      </c>
      <c r="C53" s="8" t="s">
        <v>224</v>
      </c>
      <c r="D53" s="8" t="s">
        <v>225</v>
      </c>
      <c r="E53" s="8">
        <v>1</v>
      </c>
      <c r="F53" s="8" t="s">
        <v>261</v>
      </c>
      <c r="G53" s="8">
        <v>2001</v>
      </c>
      <c r="H53" s="8" t="s">
        <v>226</v>
      </c>
      <c r="I53" s="8" t="s">
        <v>147</v>
      </c>
      <c r="J53" s="8">
        <v>488</v>
      </c>
      <c r="K53" s="8"/>
      <c r="L53" s="8" t="s">
        <v>262</v>
      </c>
      <c r="M53" s="8" t="s">
        <v>228</v>
      </c>
      <c r="N53" s="11">
        <f t="shared" si="0"/>
        <v>51</v>
      </c>
    </row>
    <row r="54" spans="1:14" x14ac:dyDescent="0.25">
      <c r="A54" s="8" t="s">
        <v>263</v>
      </c>
      <c r="B54" s="8" t="s">
        <v>120</v>
      </c>
      <c r="C54" s="8" t="s">
        <v>264</v>
      </c>
      <c r="D54" s="8" t="s">
        <v>242</v>
      </c>
      <c r="E54" s="8" t="s">
        <v>18</v>
      </c>
      <c r="F54" s="8" t="s">
        <v>195</v>
      </c>
      <c r="G54" s="8">
        <v>2010</v>
      </c>
      <c r="H54" s="8" t="s">
        <v>196</v>
      </c>
      <c r="I54" s="8" t="s">
        <v>147</v>
      </c>
      <c r="J54" s="8">
        <v>432</v>
      </c>
      <c r="K54" s="8"/>
      <c r="L54" s="8" t="s">
        <v>265</v>
      </c>
      <c r="M54" s="8" t="s">
        <v>68</v>
      </c>
      <c r="N54" s="11">
        <f t="shared" si="0"/>
        <v>52</v>
      </c>
    </row>
    <row r="55" spans="1:14" x14ac:dyDescent="0.25">
      <c r="A55" s="8" t="s">
        <v>266</v>
      </c>
      <c r="B55" s="8" t="s">
        <v>126</v>
      </c>
      <c r="C55" s="8" t="s">
        <v>267</v>
      </c>
      <c r="D55" s="8" t="s">
        <v>268</v>
      </c>
      <c r="E55" s="8" t="s">
        <v>18</v>
      </c>
      <c r="F55" s="8" t="s">
        <v>269</v>
      </c>
      <c r="G55" s="8">
        <v>2016</v>
      </c>
      <c r="H55" s="8" t="s">
        <v>270</v>
      </c>
      <c r="I55" s="8" t="s">
        <v>21</v>
      </c>
      <c r="J55" s="8">
        <v>672</v>
      </c>
      <c r="K55" s="8">
        <v>823</v>
      </c>
      <c r="L55" s="8" t="s">
        <v>271</v>
      </c>
      <c r="M55" s="8" t="s">
        <v>51</v>
      </c>
      <c r="N55" s="11">
        <f t="shared" si="0"/>
        <v>53</v>
      </c>
    </row>
    <row r="56" spans="1:14" x14ac:dyDescent="0.25">
      <c r="A56" s="8" t="s">
        <v>272</v>
      </c>
      <c r="B56" s="8" t="s">
        <v>171</v>
      </c>
      <c r="C56" s="8" t="s">
        <v>273</v>
      </c>
      <c r="D56" s="8" t="s">
        <v>17</v>
      </c>
      <c r="E56" s="8" t="s">
        <v>18</v>
      </c>
      <c r="F56" s="8" t="s">
        <v>173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274</v>
      </c>
      <c r="M56" s="8" t="s">
        <v>51</v>
      </c>
      <c r="N56" s="11">
        <f t="shared" si="0"/>
        <v>54</v>
      </c>
    </row>
    <row r="57" spans="1:14" x14ac:dyDescent="0.25">
      <c r="A57" s="8" t="s">
        <v>275</v>
      </c>
      <c r="B57" s="8" t="s">
        <v>120</v>
      </c>
      <c r="C57" s="8" t="s">
        <v>276</v>
      </c>
      <c r="D57" s="8" t="s">
        <v>277</v>
      </c>
      <c r="E57" s="8" t="s">
        <v>18</v>
      </c>
      <c r="F57" s="8" t="s">
        <v>278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279</v>
      </c>
      <c r="L57" s="8" t="s">
        <v>280</v>
      </c>
      <c r="M57" s="8" t="s">
        <v>68</v>
      </c>
      <c r="N57" s="11">
        <f t="shared" si="0"/>
        <v>55</v>
      </c>
    </row>
    <row r="58" spans="1:14" x14ac:dyDescent="0.25">
      <c r="A58" s="8" t="s">
        <v>281</v>
      </c>
      <c r="B58" s="8" t="s">
        <v>282</v>
      </c>
      <c r="C58" s="8" t="s">
        <v>283</v>
      </c>
      <c r="D58" s="8" t="s">
        <v>17</v>
      </c>
      <c r="E58" s="8" t="s">
        <v>18</v>
      </c>
      <c r="F58" s="8" t="s">
        <v>284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285</v>
      </c>
      <c r="M58" s="8" t="s">
        <v>30</v>
      </c>
      <c r="N58" s="11">
        <f t="shared" si="0"/>
        <v>56</v>
      </c>
    </row>
    <row r="59" spans="1:14" x14ac:dyDescent="0.25">
      <c r="A59" s="8" t="s">
        <v>286</v>
      </c>
      <c r="B59" s="8" t="s">
        <v>120</v>
      </c>
      <c r="C59" s="8" t="s">
        <v>250</v>
      </c>
      <c r="D59" s="8" t="s">
        <v>287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253</v>
      </c>
      <c r="L59" s="8" t="s">
        <v>288</v>
      </c>
      <c r="M59" s="8" t="s">
        <v>30</v>
      </c>
      <c r="N59" s="11">
        <f t="shared" si="0"/>
        <v>57</v>
      </c>
    </row>
    <row r="60" spans="1:14" x14ac:dyDescent="0.25">
      <c r="A60" s="8" t="s">
        <v>289</v>
      </c>
      <c r="B60" s="8" t="s">
        <v>120</v>
      </c>
      <c r="C60" s="8" t="s">
        <v>290</v>
      </c>
      <c r="D60" s="8" t="s">
        <v>17</v>
      </c>
      <c r="E60" s="8" t="s">
        <v>18</v>
      </c>
      <c r="F60" s="8" t="s">
        <v>291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292</v>
      </c>
      <c r="M60" s="8" t="s">
        <v>293</v>
      </c>
      <c r="N60" s="11">
        <f t="shared" si="0"/>
        <v>58</v>
      </c>
    </row>
    <row r="61" spans="1:14" x14ac:dyDescent="0.25">
      <c r="A61" s="8" t="s">
        <v>294</v>
      </c>
      <c r="B61" s="8" t="s">
        <v>120</v>
      </c>
      <c r="C61" s="8" t="s">
        <v>295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296</v>
      </c>
      <c r="M61" s="8" t="s">
        <v>68</v>
      </c>
      <c r="N61" s="11">
        <f t="shared" si="0"/>
        <v>59</v>
      </c>
    </row>
    <row r="62" spans="1:14" x14ac:dyDescent="0.25">
      <c r="A62" s="8" t="s">
        <v>297</v>
      </c>
      <c r="B62" s="8" t="s">
        <v>120</v>
      </c>
      <c r="C62" s="8" t="s">
        <v>161</v>
      </c>
      <c r="D62" s="8" t="s">
        <v>298</v>
      </c>
      <c r="E62" s="8" t="s">
        <v>18</v>
      </c>
      <c r="F62" s="8" t="s">
        <v>299</v>
      </c>
      <c r="G62" s="8">
        <v>1994</v>
      </c>
      <c r="H62" s="8" t="s">
        <v>18</v>
      </c>
      <c r="I62" s="8" t="s">
        <v>147</v>
      </c>
      <c r="J62" s="8">
        <v>502</v>
      </c>
      <c r="K62" s="8">
        <v>853</v>
      </c>
      <c r="L62" s="8" t="s">
        <v>300</v>
      </c>
      <c r="M62" s="8" t="s">
        <v>85</v>
      </c>
      <c r="N62" s="11">
        <f t="shared" si="0"/>
        <v>60</v>
      </c>
    </row>
    <row r="63" spans="1:14" x14ac:dyDescent="0.25">
      <c r="A63" s="8" t="s">
        <v>301</v>
      </c>
      <c r="B63" s="8" t="s">
        <v>120</v>
      </c>
      <c r="C63" s="8" t="s">
        <v>302</v>
      </c>
      <c r="D63" s="8" t="s">
        <v>17</v>
      </c>
      <c r="E63" s="8" t="s">
        <v>18</v>
      </c>
      <c r="F63" s="8" t="s">
        <v>303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304</v>
      </c>
      <c r="M63" s="8" t="s">
        <v>136</v>
      </c>
      <c r="N63" s="11">
        <f t="shared" si="0"/>
        <v>61</v>
      </c>
    </row>
    <row r="64" spans="1:14" x14ac:dyDescent="0.25">
      <c r="A64" s="8" t="s">
        <v>305</v>
      </c>
      <c r="B64" s="8" t="s">
        <v>120</v>
      </c>
      <c r="C64" s="8" t="s">
        <v>306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307</v>
      </c>
      <c r="M64" s="8" t="s">
        <v>51</v>
      </c>
      <c r="N64" s="11">
        <f t="shared" si="0"/>
        <v>62</v>
      </c>
    </row>
    <row r="65" spans="1:14" x14ac:dyDescent="0.25">
      <c r="A65" s="8" t="s">
        <v>308</v>
      </c>
      <c r="B65" s="8" t="s">
        <v>120</v>
      </c>
      <c r="C65" s="8" t="s">
        <v>241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309</v>
      </c>
      <c r="M65" s="8" t="s">
        <v>68</v>
      </c>
      <c r="N65" s="11">
        <f t="shared" si="0"/>
        <v>63</v>
      </c>
    </row>
    <row r="66" spans="1:14" x14ac:dyDescent="0.25">
      <c r="A66" s="8" t="s">
        <v>310</v>
      </c>
      <c r="B66" s="8" t="s">
        <v>76</v>
      </c>
      <c r="C66" s="8" t="s">
        <v>311</v>
      </c>
      <c r="D66" s="8" t="s">
        <v>312</v>
      </c>
      <c r="E66" s="8" t="s">
        <v>18</v>
      </c>
      <c r="F66" s="8" t="s">
        <v>278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313</v>
      </c>
      <c r="M66" s="8" t="s">
        <v>51</v>
      </c>
      <c r="N66" s="11">
        <f t="shared" si="0"/>
        <v>64</v>
      </c>
    </row>
    <row r="67" spans="1:14" x14ac:dyDescent="0.25">
      <c r="A67" s="8" t="s">
        <v>314</v>
      </c>
      <c r="B67" s="8" t="s">
        <v>120</v>
      </c>
      <c r="C67" s="8" t="s">
        <v>315</v>
      </c>
      <c r="D67" s="8" t="s">
        <v>316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317</v>
      </c>
      <c r="M67" s="8" t="s">
        <v>318</v>
      </c>
      <c r="N67" s="11">
        <f t="shared" si="0"/>
        <v>65</v>
      </c>
    </row>
    <row r="68" spans="1:14" x14ac:dyDescent="0.25">
      <c r="A68" s="8" t="s">
        <v>319</v>
      </c>
      <c r="B68" s="8" t="s">
        <v>120</v>
      </c>
      <c r="C68" s="8" t="s">
        <v>250</v>
      </c>
      <c r="D68" s="8" t="s">
        <v>320</v>
      </c>
      <c r="E68" s="8" t="s">
        <v>18</v>
      </c>
      <c r="F68" s="8" t="s">
        <v>251</v>
      </c>
      <c r="G68" s="8">
        <v>2003</v>
      </c>
      <c r="H68" s="8" t="s">
        <v>252</v>
      </c>
      <c r="I68" s="8" t="s">
        <v>21</v>
      </c>
      <c r="J68" s="8">
        <v>390</v>
      </c>
      <c r="K68" s="8" t="s">
        <v>253</v>
      </c>
      <c r="L68" s="8" t="s">
        <v>321</v>
      </c>
      <c r="M68" s="8" t="s">
        <v>30</v>
      </c>
      <c r="N68" s="11">
        <f t="shared" ref="N68:N131" si="1">IF(A68&lt;&gt;"", ROW(A68)-2, "")</f>
        <v>66</v>
      </c>
    </row>
    <row r="69" spans="1:14" x14ac:dyDescent="0.25">
      <c r="A69" s="8" t="s">
        <v>322</v>
      </c>
      <c r="B69" s="8" t="s">
        <v>205</v>
      </c>
      <c r="C69" s="8" t="s">
        <v>323</v>
      </c>
      <c r="D69" s="8" t="s">
        <v>17</v>
      </c>
      <c r="E69" s="8" t="s">
        <v>18</v>
      </c>
      <c r="F69" s="8" t="s">
        <v>324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325</v>
      </c>
      <c r="L69" s="8" t="s">
        <v>326</v>
      </c>
      <c r="M69" s="8" t="s">
        <v>30</v>
      </c>
      <c r="N69" s="11">
        <f t="shared" si="1"/>
        <v>67</v>
      </c>
    </row>
    <row r="70" spans="1:14" x14ac:dyDescent="0.25">
      <c r="A70" s="8" t="s">
        <v>327</v>
      </c>
      <c r="B70" s="8" t="s">
        <v>120</v>
      </c>
      <c r="C70" s="8" t="s">
        <v>241</v>
      </c>
      <c r="D70" s="8" t="s">
        <v>17</v>
      </c>
      <c r="E70" s="8" t="s">
        <v>18</v>
      </c>
      <c r="F70" s="8" t="s">
        <v>243</v>
      </c>
      <c r="G70" s="8">
        <v>1994</v>
      </c>
      <c r="H70" s="8" t="s">
        <v>244</v>
      </c>
      <c r="I70" s="8" t="s">
        <v>147</v>
      </c>
      <c r="J70" s="8">
        <v>374</v>
      </c>
      <c r="K70" s="8">
        <v>823</v>
      </c>
      <c r="L70" s="8" t="s">
        <v>328</v>
      </c>
      <c r="M70" s="8" t="s">
        <v>68</v>
      </c>
      <c r="N70" s="11">
        <f t="shared" si="1"/>
        <v>68</v>
      </c>
    </row>
    <row r="71" spans="1:14" x14ac:dyDescent="0.25">
      <c r="A71" s="8" t="s">
        <v>329</v>
      </c>
      <c r="B71" s="8" t="s">
        <v>120</v>
      </c>
      <c r="C71" s="8" t="s">
        <v>330</v>
      </c>
      <c r="D71" s="8" t="s">
        <v>17</v>
      </c>
      <c r="E71" s="8" t="s">
        <v>18</v>
      </c>
      <c r="F71" s="8" t="s">
        <v>331</v>
      </c>
      <c r="G71" s="8">
        <v>2011</v>
      </c>
      <c r="H71" s="8" t="s">
        <v>18</v>
      </c>
      <c r="I71" s="8" t="s">
        <v>147</v>
      </c>
      <c r="J71" s="8">
        <v>390</v>
      </c>
      <c r="K71" s="8"/>
      <c r="L71" s="8" t="s">
        <v>332</v>
      </c>
      <c r="M71" s="8" t="s">
        <v>68</v>
      </c>
      <c r="N71" s="11">
        <f t="shared" si="1"/>
        <v>69</v>
      </c>
    </row>
    <row r="72" spans="1:14" x14ac:dyDescent="0.25">
      <c r="A72" s="8" t="s">
        <v>333</v>
      </c>
      <c r="B72" s="8" t="s">
        <v>334</v>
      </c>
      <c r="C72" s="8" t="s">
        <v>335</v>
      </c>
      <c r="D72" s="8" t="s">
        <v>17</v>
      </c>
      <c r="E72" s="8">
        <v>741</v>
      </c>
      <c r="F72" s="8" t="s">
        <v>336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337</v>
      </c>
      <c r="M72" s="8" t="s">
        <v>51</v>
      </c>
      <c r="N72" s="11">
        <f t="shared" si="1"/>
        <v>70</v>
      </c>
    </row>
    <row r="73" spans="1:14" x14ac:dyDescent="0.25">
      <c r="A73" s="8" t="s">
        <v>338</v>
      </c>
      <c r="B73" s="8" t="s">
        <v>334</v>
      </c>
      <c r="C73" s="8" t="s">
        <v>339</v>
      </c>
      <c r="D73" s="8" t="s">
        <v>17</v>
      </c>
      <c r="E73" s="8" t="s">
        <v>18</v>
      </c>
      <c r="F73" s="8" t="s">
        <v>340</v>
      </c>
      <c r="G73" s="8">
        <v>2007</v>
      </c>
      <c r="H73" s="8" t="s">
        <v>18</v>
      </c>
      <c r="I73" s="8" t="s">
        <v>147</v>
      </c>
      <c r="J73" s="8">
        <v>305</v>
      </c>
      <c r="K73" s="8"/>
      <c r="L73" s="8" t="s">
        <v>341</v>
      </c>
      <c r="M73" s="8" t="s">
        <v>51</v>
      </c>
      <c r="N73" s="11">
        <f t="shared" si="1"/>
        <v>71</v>
      </c>
    </row>
    <row r="74" spans="1:14" x14ac:dyDescent="0.25">
      <c r="A74" s="8" t="s">
        <v>342</v>
      </c>
      <c r="B74" s="8" t="s">
        <v>120</v>
      </c>
      <c r="C74" s="8" t="s">
        <v>343</v>
      </c>
      <c r="D74" s="8" t="s">
        <v>63</v>
      </c>
      <c r="E74" s="8" t="s">
        <v>18</v>
      </c>
      <c r="F74" s="8" t="s">
        <v>344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253</v>
      </c>
      <c r="L74" s="8" t="s">
        <v>345</v>
      </c>
      <c r="M74" s="8" t="s">
        <v>30</v>
      </c>
      <c r="N74" s="11">
        <f t="shared" si="1"/>
        <v>72</v>
      </c>
    </row>
    <row r="75" spans="1:14" x14ac:dyDescent="0.25">
      <c r="A75" s="8" t="s">
        <v>346</v>
      </c>
      <c r="B75" s="8" t="s">
        <v>347</v>
      </c>
      <c r="C75" s="8" t="s">
        <v>348</v>
      </c>
      <c r="D75" s="8" t="s">
        <v>17</v>
      </c>
      <c r="E75" s="8" t="s">
        <v>18</v>
      </c>
      <c r="F75" s="8" t="s">
        <v>349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253</v>
      </c>
      <c r="L75" s="8" t="s">
        <v>350</v>
      </c>
      <c r="M75" s="8" t="s">
        <v>30</v>
      </c>
      <c r="N75" s="11">
        <f t="shared" si="1"/>
        <v>73</v>
      </c>
    </row>
    <row r="76" spans="1:14" x14ac:dyDescent="0.25">
      <c r="A76" s="8" t="s">
        <v>351</v>
      </c>
      <c r="B76" s="8" t="s">
        <v>46</v>
      </c>
      <c r="C76" s="8" t="s">
        <v>352</v>
      </c>
      <c r="D76" s="8" t="s">
        <v>17</v>
      </c>
      <c r="E76" s="8" t="s">
        <v>18</v>
      </c>
      <c r="F76" s="8" t="s">
        <v>353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354</v>
      </c>
      <c r="M76" s="8" t="s">
        <v>30</v>
      </c>
      <c r="N76" s="11">
        <f t="shared" si="1"/>
        <v>74</v>
      </c>
    </row>
    <row r="77" spans="1:14" x14ac:dyDescent="0.25">
      <c r="A77" s="8" t="s">
        <v>355</v>
      </c>
      <c r="B77" s="8" t="s">
        <v>120</v>
      </c>
      <c r="C77" s="8" t="s">
        <v>356</v>
      </c>
      <c r="D77" s="8" t="s">
        <v>242</v>
      </c>
      <c r="E77" s="8" t="s">
        <v>18</v>
      </c>
      <c r="F77" s="8" t="s">
        <v>331</v>
      </c>
      <c r="G77" s="8">
        <v>2001</v>
      </c>
      <c r="H77" s="8" t="s">
        <v>18</v>
      </c>
      <c r="I77" s="8" t="s">
        <v>147</v>
      </c>
      <c r="J77" s="8">
        <v>344</v>
      </c>
      <c r="K77" s="8"/>
      <c r="L77" s="8" t="s">
        <v>357</v>
      </c>
      <c r="M77" s="8" t="s">
        <v>239</v>
      </c>
      <c r="N77" s="11">
        <f t="shared" si="1"/>
        <v>75</v>
      </c>
    </row>
    <row r="78" spans="1:14" x14ac:dyDescent="0.25">
      <c r="A78" s="8" t="s">
        <v>358</v>
      </c>
      <c r="B78" s="8" t="s">
        <v>120</v>
      </c>
      <c r="C78" s="8" t="s">
        <v>218</v>
      </c>
      <c r="D78" s="8" t="s">
        <v>17</v>
      </c>
      <c r="E78" s="8" t="s">
        <v>18</v>
      </c>
      <c r="F78" s="8" t="s">
        <v>359</v>
      </c>
      <c r="G78" s="8">
        <v>1995</v>
      </c>
      <c r="H78" s="8" t="s">
        <v>360</v>
      </c>
      <c r="I78" s="8" t="s">
        <v>361</v>
      </c>
      <c r="J78" s="8">
        <v>77</v>
      </c>
      <c r="K78" s="8">
        <v>843</v>
      </c>
      <c r="L78" s="8" t="s">
        <v>362</v>
      </c>
      <c r="M78" s="8" t="s">
        <v>220</v>
      </c>
      <c r="N78" s="11">
        <f t="shared" si="1"/>
        <v>76</v>
      </c>
    </row>
    <row r="79" spans="1:14" x14ac:dyDescent="0.25">
      <c r="A79" s="8" t="s">
        <v>363</v>
      </c>
      <c r="B79" s="8" t="s">
        <v>364</v>
      </c>
      <c r="C79" s="8" t="s">
        <v>365</v>
      </c>
      <c r="D79" s="8" t="s">
        <v>17</v>
      </c>
      <c r="E79" s="8" t="s">
        <v>18</v>
      </c>
      <c r="F79" s="8" t="s">
        <v>366</v>
      </c>
      <c r="G79" s="8">
        <v>2012</v>
      </c>
      <c r="H79" s="8" t="s">
        <v>18</v>
      </c>
      <c r="I79" s="8" t="s">
        <v>147</v>
      </c>
      <c r="J79" s="8">
        <v>462</v>
      </c>
      <c r="K79" s="8"/>
      <c r="L79" s="8" t="s">
        <v>367</v>
      </c>
      <c r="M79" s="8" t="s">
        <v>68</v>
      </c>
      <c r="N79" s="11">
        <f t="shared" si="1"/>
        <v>77</v>
      </c>
    </row>
    <row r="80" spans="1:14" x14ac:dyDescent="0.25">
      <c r="A80" s="8" t="s">
        <v>368</v>
      </c>
      <c r="B80" s="8" t="s">
        <v>76</v>
      </c>
      <c r="C80" s="8" t="s">
        <v>369</v>
      </c>
      <c r="D80" s="8" t="s">
        <v>17</v>
      </c>
      <c r="E80" s="8" t="s">
        <v>18</v>
      </c>
      <c r="F80" s="8" t="s">
        <v>370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371</v>
      </c>
      <c r="M80" s="8" t="s">
        <v>30</v>
      </c>
      <c r="N80" s="11">
        <f t="shared" si="1"/>
        <v>78</v>
      </c>
    </row>
    <row r="81" spans="1:14" x14ac:dyDescent="0.25">
      <c r="A81" s="8" t="s">
        <v>372</v>
      </c>
      <c r="B81" s="8" t="s">
        <v>373</v>
      </c>
      <c r="C81" s="8" t="s">
        <v>374</v>
      </c>
      <c r="D81" s="8" t="s">
        <v>157</v>
      </c>
      <c r="E81" s="8" t="s">
        <v>18</v>
      </c>
      <c r="F81" s="8" t="s">
        <v>375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376</v>
      </c>
      <c r="L81" s="8" t="s">
        <v>377</v>
      </c>
      <c r="M81" s="8" t="s">
        <v>30</v>
      </c>
      <c r="N81" s="11">
        <f t="shared" si="1"/>
        <v>79</v>
      </c>
    </row>
    <row r="82" spans="1:14" x14ac:dyDescent="0.25">
      <c r="A82" s="8" t="s">
        <v>378</v>
      </c>
      <c r="B82" s="8" t="s">
        <v>379</v>
      </c>
      <c r="C82" s="8" t="s">
        <v>380</v>
      </c>
      <c r="D82" s="8" t="s">
        <v>17</v>
      </c>
      <c r="E82" s="8" t="s">
        <v>18</v>
      </c>
      <c r="F82" s="8" t="s">
        <v>381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382</v>
      </c>
      <c r="M82" s="8" t="s">
        <v>51</v>
      </c>
      <c r="N82" s="11">
        <f t="shared" si="1"/>
        <v>80</v>
      </c>
    </row>
    <row r="83" spans="1:14" x14ac:dyDescent="0.25">
      <c r="A83" s="8" t="s">
        <v>383</v>
      </c>
      <c r="B83" s="8" t="s">
        <v>384</v>
      </c>
      <c r="C83" s="8" t="s">
        <v>380</v>
      </c>
      <c r="D83" s="8" t="s">
        <v>17</v>
      </c>
      <c r="E83" s="8" t="s">
        <v>18</v>
      </c>
      <c r="F83" s="8" t="s">
        <v>381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385</v>
      </c>
      <c r="L83" s="8" t="s">
        <v>386</v>
      </c>
      <c r="M83" s="8" t="s">
        <v>51</v>
      </c>
      <c r="N83" s="11">
        <f t="shared" si="1"/>
        <v>81</v>
      </c>
    </row>
    <row r="84" spans="1:14" x14ac:dyDescent="0.25">
      <c r="A84" s="8" t="s">
        <v>387</v>
      </c>
      <c r="B84" s="8" t="s">
        <v>282</v>
      </c>
      <c r="C84" s="8" t="s">
        <v>388</v>
      </c>
      <c r="D84" s="8" t="s">
        <v>63</v>
      </c>
      <c r="E84" s="8" t="s">
        <v>18</v>
      </c>
      <c r="F84" s="8" t="s">
        <v>344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389</v>
      </c>
      <c r="M84" s="8" t="s">
        <v>51</v>
      </c>
      <c r="N84" s="11">
        <f t="shared" si="1"/>
        <v>82</v>
      </c>
    </row>
    <row r="85" spans="1:14" x14ac:dyDescent="0.25">
      <c r="A85" s="8" t="s">
        <v>390</v>
      </c>
      <c r="B85" s="8" t="s">
        <v>76</v>
      </c>
      <c r="C85" s="8" t="s">
        <v>391</v>
      </c>
      <c r="D85" s="8" t="s">
        <v>392</v>
      </c>
      <c r="E85" s="8">
        <v>1</v>
      </c>
      <c r="F85" s="8" t="s">
        <v>34</v>
      </c>
      <c r="G85" s="8">
        <v>2014</v>
      </c>
      <c r="H85" s="8" t="s">
        <v>393</v>
      </c>
      <c r="I85" s="8" t="s">
        <v>21</v>
      </c>
      <c r="J85" s="8">
        <v>140</v>
      </c>
      <c r="K85" s="8">
        <v>100</v>
      </c>
      <c r="L85" s="8" t="s">
        <v>394</v>
      </c>
      <c r="M85" s="8" t="s">
        <v>30</v>
      </c>
      <c r="N85" s="11">
        <f t="shared" si="1"/>
        <v>83</v>
      </c>
    </row>
    <row r="86" spans="1:14" x14ac:dyDescent="0.25">
      <c r="A86" s="8" t="s">
        <v>395</v>
      </c>
      <c r="B86" s="8" t="s">
        <v>76</v>
      </c>
      <c r="C86" s="8" t="s">
        <v>391</v>
      </c>
      <c r="D86" s="8" t="s">
        <v>396</v>
      </c>
      <c r="E86" s="8">
        <v>2</v>
      </c>
      <c r="F86" s="8" t="s">
        <v>34</v>
      </c>
      <c r="G86" s="8">
        <v>2014</v>
      </c>
      <c r="H86" s="8" t="s">
        <v>393</v>
      </c>
      <c r="I86" s="8" t="s">
        <v>21</v>
      </c>
      <c r="J86" s="8">
        <v>138</v>
      </c>
      <c r="K86" s="8" t="s">
        <v>397</v>
      </c>
      <c r="L86" s="8" t="s">
        <v>398</v>
      </c>
      <c r="M86" s="8" t="s">
        <v>30</v>
      </c>
      <c r="N86" s="11">
        <f t="shared" si="1"/>
        <v>84</v>
      </c>
    </row>
    <row r="87" spans="1:14" x14ac:dyDescent="0.25">
      <c r="A87" s="8" t="s">
        <v>399</v>
      </c>
      <c r="B87" s="8" t="s">
        <v>76</v>
      </c>
      <c r="C87" s="8" t="s">
        <v>391</v>
      </c>
      <c r="D87" s="8" t="s">
        <v>400</v>
      </c>
      <c r="E87" s="8">
        <v>3</v>
      </c>
      <c r="F87" s="8" t="s">
        <v>34</v>
      </c>
      <c r="G87" s="8">
        <v>2014</v>
      </c>
      <c r="H87" s="8" t="s">
        <v>393</v>
      </c>
      <c r="I87" s="8" t="s">
        <v>21</v>
      </c>
      <c r="J87" s="8">
        <v>134</v>
      </c>
      <c r="K87" s="8">
        <v>100</v>
      </c>
      <c r="L87" s="8" t="s">
        <v>401</v>
      </c>
      <c r="M87" s="8" t="s">
        <v>30</v>
      </c>
      <c r="N87" s="11">
        <f t="shared" si="1"/>
        <v>85</v>
      </c>
    </row>
    <row r="88" spans="1:14" x14ac:dyDescent="0.25">
      <c r="A88" s="8" t="s">
        <v>402</v>
      </c>
      <c r="B88" s="8" t="s">
        <v>403</v>
      </c>
      <c r="C88" s="8" t="s">
        <v>404</v>
      </c>
      <c r="D88" s="8" t="s">
        <v>17</v>
      </c>
      <c r="E88" s="8" t="s">
        <v>18</v>
      </c>
      <c r="F88" s="8" t="s">
        <v>405</v>
      </c>
      <c r="G88" s="8">
        <v>2016</v>
      </c>
      <c r="H88" s="8" t="s">
        <v>18</v>
      </c>
      <c r="I88" s="8" t="s">
        <v>147</v>
      </c>
      <c r="J88" s="8">
        <v>90</v>
      </c>
      <c r="K88" s="8"/>
      <c r="L88" s="8" t="s">
        <v>406</v>
      </c>
      <c r="M88" s="8" t="s">
        <v>51</v>
      </c>
      <c r="N88" s="11">
        <f t="shared" si="1"/>
        <v>86</v>
      </c>
    </row>
    <row r="89" spans="1:14" x14ac:dyDescent="0.25">
      <c r="A89" s="8" t="s">
        <v>407</v>
      </c>
      <c r="B89" s="8" t="s">
        <v>120</v>
      </c>
      <c r="C89" s="8" t="s">
        <v>408</v>
      </c>
      <c r="D89" s="8" t="s">
        <v>17</v>
      </c>
      <c r="E89" s="8" t="s">
        <v>18</v>
      </c>
      <c r="F89" s="8" t="s">
        <v>284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253</v>
      </c>
      <c r="L89" s="8" t="s">
        <v>409</v>
      </c>
      <c r="M89" s="8" t="s">
        <v>30</v>
      </c>
      <c r="N89" s="11">
        <f t="shared" si="1"/>
        <v>87</v>
      </c>
    </row>
    <row r="90" spans="1:14" x14ac:dyDescent="0.25">
      <c r="A90" s="8" t="s">
        <v>410</v>
      </c>
      <c r="B90" s="8" t="s">
        <v>411</v>
      </c>
      <c r="C90" s="8" t="s">
        <v>412</v>
      </c>
      <c r="D90" s="8" t="s">
        <v>17</v>
      </c>
      <c r="E90" s="8" t="s">
        <v>18</v>
      </c>
      <c r="F90" s="8" t="s">
        <v>344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413</v>
      </c>
      <c r="L90" s="8" t="s">
        <v>414</v>
      </c>
      <c r="M90" s="8" t="s">
        <v>68</v>
      </c>
      <c r="N90" s="11">
        <f t="shared" si="1"/>
        <v>88</v>
      </c>
    </row>
    <row r="91" spans="1:14" x14ac:dyDescent="0.25">
      <c r="A91" s="8" t="s">
        <v>415</v>
      </c>
      <c r="B91" s="8" t="s">
        <v>76</v>
      </c>
      <c r="C91" s="8" t="s">
        <v>416</v>
      </c>
      <c r="D91" s="8" t="s">
        <v>17</v>
      </c>
      <c r="E91" s="8" t="s">
        <v>18</v>
      </c>
      <c r="F91" s="8" t="s">
        <v>417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418</v>
      </c>
      <c r="M91" s="8" t="s">
        <v>30</v>
      </c>
      <c r="N91" s="11">
        <f t="shared" si="1"/>
        <v>89</v>
      </c>
    </row>
    <row r="92" spans="1:14" x14ac:dyDescent="0.25">
      <c r="A92" s="8" t="s">
        <v>419</v>
      </c>
      <c r="B92" s="8" t="s">
        <v>411</v>
      </c>
      <c r="C92" s="8" t="s">
        <v>420</v>
      </c>
      <c r="D92" s="8" t="s">
        <v>17</v>
      </c>
      <c r="E92" s="8" t="s">
        <v>18</v>
      </c>
      <c r="F92" s="8" t="s">
        <v>421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422</v>
      </c>
      <c r="L92" s="8" t="s">
        <v>423</v>
      </c>
      <c r="M92" s="8" t="s">
        <v>424</v>
      </c>
      <c r="N92" s="11">
        <f t="shared" si="1"/>
        <v>90</v>
      </c>
    </row>
    <row r="93" spans="1:14" x14ac:dyDescent="0.25">
      <c r="A93" s="8" t="s">
        <v>425</v>
      </c>
      <c r="B93" s="8" t="s">
        <v>46</v>
      </c>
      <c r="C93" s="8" t="s">
        <v>426</v>
      </c>
      <c r="D93" s="8" t="s">
        <v>17</v>
      </c>
      <c r="E93" s="8" t="s">
        <v>18</v>
      </c>
      <c r="F93" s="8" t="s">
        <v>427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428</v>
      </c>
      <c r="M93" s="8" t="s">
        <v>51</v>
      </c>
      <c r="N93" s="11">
        <f t="shared" si="1"/>
        <v>91</v>
      </c>
    </row>
    <row r="94" spans="1:14" x14ac:dyDescent="0.25">
      <c r="A94" s="8" t="s">
        <v>429</v>
      </c>
      <c r="B94" s="8" t="s">
        <v>32</v>
      </c>
      <c r="C94" s="8" t="s">
        <v>430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431</v>
      </c>
      <c r="M94" s="8" t="s">
        <v>85</v>
      </c>
      <c r="N94" s="11">
        <f t="shared" si="1"/>
        <v>92</v>
      </c>
    </row>
    <row r="95" spans="1:14" x14ac:dyDescent="0.25">
      <c r="A95" s="8" t="s">
        <v>432</v>
      </c>
      <c r="B95" s="8" t="s">
        <v>433</v>
      </c>
      <c r="C95" s="8" t="s">
        <v>434</v>
      </c>
      <c r="D95" s="8" t="s">
        <v>435</v>
      </c>
      <c r="E95" s="8">
        <v>1</v>
      </c>
      <c r="F95" s="8" t="s">
        <v>436</v>
      </c>
      <c r="G95" s="8">
        <v>2012</v>
      </c>
      <c r="H95" s="8" t="s">
        <v>437</v>
      </c>
      <c r="I95" s="8" t="s">
        <v>21</v>
      </c>
      <c r="J95" s="8">
        <v>566</v>
      </c>
      <c r="K95" s="8">
        <v>981</v>
      </c>
      <c r="L95" s="8" t="s">
        <v>438</v>
      </c>
      <c r="M95" s="8" t="s">
        <v>30</v>
      </c>
      <c r="N95" s="11">
        <f t="shared" si="1"/>
        <v>93</v>
      </c>
    </row>
    <row r="96" spans="1:14" x14ac:dyDescent="0.25">
      <c r="A96" s="8" t="s">
        <v>439</v>
      </c>
      <c r="B96" s="8" t="s">
        <v>126</v>
      </c>
      <c r="C96" s="8" t="s">
        <v>440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441</v>
      </c>
      <c r="L96" s="8" t="s">
        <v>442</v>
      </c>
      <c r="M96" s="8" t="s">
        <v>30</v>
      </c>
      <c r="N96" s="11">
        <f t="shared" si="1"/>
        <v>94</v>
      </c>
    </row>
    <row r="97" spans="1:14" x14ac:dyDescent="0.25">
      <c r="A97" s="8" t="s">
        <v>443</v>
      </c>
      <c r="B97" s="8" t="s">
        <v>444</v>
      </c>
      <c r="C97" s="8" t="s">
        <v>445</v>
      </c>
      <c r="D97" s="8" t="s">
        <v>17</v>
      </c>
      <c r="E97" s="8" t="s">
        <v>225</v>
      </c>
      <c r="F97" s="8" t="s">
        <v>446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447</v>
      </c>
      <c r="M97" s="8" t="s">
        <v>37</v>
      </c>
      <c r="N97" s="11">
        <f t="shared" si="1"/>
        <v>95</v>
      </c>
    </row>
    <row r="98" spans="1:14" x14ac:dyDescent="0.25">
      <c r="A98" s="8" t="s">
        <v>448</v>
      </c>
      <c r="B98" s="8" t="s">
        <v>364</v>
      </c>
      <c r="C98" s="8" t="s">
        <v>449</v>
      </c>
      <c r="D98" s="8" t="s">
        <v>17</v>
      </c>
      <c r="E98" s="8" t="s">
        <v>225</v>
      </c>
      <c r="F98" s="8" t="s">
        <v>427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450</v>
      </c>
      <c r="L98" s="8" t="s">
        <v>451</v>
      </c>
      <c r="M98" s="8" t="s">
        <v>51</v>
      </c>
      <c r="N98" s="11">
        <f t="shared" si="1"/>
        <v>96</v>
      </c>
    </row>
    <row r="99" spans="1:14" x14ac:dyDescent="0.25">
      <c r="A99" s="8" t="s">
        <v>452</v>
      </c>
      <c r="B99" s="8" t="s">
        <v>46</v>
      </c>
      <c r="C99" s="8" t="s">
        <v>453</v>
      </c>
      <c r="D99" s="8" t="s">
        <v>17</v>
      </c>
      <c r="E99" s="8" t="s">
        <v>225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454</v>
      </c>
      <c r="L99" s="8" t="s">
        <v>455</v>
      </c>
      <c r="M99" s="8" t="s">
        <v>51</v>
      </c>
      <c r="N99" s="11">
        <f t="shared" si="1"/>
        <v>97</v>
      </c>
    </row>
    <row r="100" spans="1:14" x14ac:dyDescent="0.25">
      <c r="A100" s="8" t="s">
        <v>456</v>
      </c>
      <c r="B100" s="8" t="s">
        <v>46</v>
      </c>
      <c r="C100" s="8" t="s">
        <v>457</v>
      </c>
      <c r="D100" s="8" t="s">
        <v>435</v>
      </c>
      <c r="E100" s="8" t="s">
        <v>225</v>
      </c>
      <c r="F100" s="8" t="s">
        <v>458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459</v>
      </c>
      <c r="M100" s="8" t="s">
        <v>30</v>
      </c>
      <c r="N100" s="11">
        <f t="shared" si="1"/>
        <v>98</v>
      </c>
    </row>
    <row r="101" spans="1:14" x14ac:dyDescent="0.25">
      <c r="A101" s="8" t="s">
        <v>460</v>
      </c>
      <c r="B101" s="8" t="s">
        <v>282</v>
      </c>
      <c r="C101" s="8" t="s">
        <v>461</v>
      </c>
      <c r="D101" s="8" t="s">
        <v>17</v>
      </c>
      <c r="E101" s="8" t="s">
        <v>225</v>
      </c>
      <c r="F101" s="8" t="s">
        <v>344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462</v>
      </c>
      <c r="M101" s="8" t="s">
        <v>51</v>
      </c>
      <c r="N101" s="11">
        <f t="shared" si="1"/>
        <v>99</v>
      </c>
    </row>
    <row r="102" spans="1:14" x14ac:dyDescent="0.25">
      <c r="A102" s="8" t="s">
        <v>463</v>
      </c>
      <c r="B102" s="8" t="s">
        <v>282</v>
      </c>
      <c r="C102" s="8" t="s">
        <v>461</v>
      </c>
      <c r="D102" s="8" t="s">
        <v>17</v>
      </c>
      <c r="E102" s="8" t="s">
        <v>225</v>
      </c>
      <c r="F102" s="8" t="s">
        <v>344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464</v>
      </c>
      <c r="M102" s="8" t="s">
        <v>51</v>
      </c>
      <c r="N102" s="11">
        <f t="shared" si="1"/>
        <v>100</v>
      </c>
    </row>
    <row r="103" spans="1:14" x14ac:dyDescent="0.25">
      <c r="A103" s="8" t="s">
        <v>465</v>
      </c>
      <c r="B103" s="8" t="s">
        <v>32</v>
      </c>
      <c r="C103" s="8" t="s">
        <v>466</v>
      </c>
      <c r="D103" s="8" t="s">
        <v>17</v>
      </c>
      <c r="E103" s="8" t="s">
        <v>225</v>
      </c>
      <c r="F103" s="8" t="s">
        <v>381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467</v>
      </c>
      <c r="L103" s="8" t="s">
        <v>468</v>
      </c>
      <c r="M103" s="8" t="s">
        <v>469</v>
      </c>
      <c r="N103" s="11">
        <f t="shared" si="1"/>
        <v>101</v>
      </c>
    </row>
    <row r="104" spans="1:14" x14ac:dyDescent="0.25">
      <c r="A104" s="8" t="s">
        <v>470</v>
      </c>
      <c r="B104" s="8" t="s">
        <v>46</v>
      </c>
      <c r="C104" s="8" t="s">
        <v>471</v>
      </c>
      <c r="D104" s="8" t="s">
        <v>157</v>
      </c>
      <c r="E104" s="8" t="s">
        <v>225</v>
      </c>
      <c r="F104" s="8" t="s">
        <v>472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473</v>
      </c>
      <c r="L104" s="8" t="s">
        <v>474</v>
      </c>
      <c r="M104" s="8" t="s">
        <v>30</v>
      </c>
      <c r="N104" s="11">
        <f t="shared" si="1"/>
        <v>102</v>
      </c>
    </row>
    <row r="105" spans="1:14" x14ac:dyDescent="0.25">
      <c r="A105" s="8" t="s">
        <v>475</v>
      </c>
      <c r="B105" s="8" t="s">
        <v>379</v>
      </c>
      <c r="C105" s="8" t="s">
        <v>476</v>
      </c>
      <c r="D105" s="8" t="s">
        <v>17</v>
      </c>
      <c r="E105" s="8" t="s">
        <v>18</v>
      </c>
      <c r="F105" s="8" t="s">
        <v>477</v>
      </c>
      <c r="G105" s="8">
        <v>2009</v>
      </c>
      <c r="H105" s="8" t="s">
        <v>18</v>
      </c>
      <c r="I105" s="8" t="s">
        <v>147</v>
      </c>
      <c r="J105" s="8">
        <v>516</v>
      </c>
      <c r="K105" s="8"/>
      <c r="L105" s="8" t="s">
        <v>478</v>
      </c>
      <c r="M105" s="8" t="s">
        <v>51</v>
      </c>
      <c r="N105" s="11">
        <f t="shared" si="1"/>
        <v>103</v>
      </c>
    </row>
    <row r="106" spans="1:14" x14ac:dyDescent="0.25">
      <c r="A106" s="8" t="s">
        <v>479</v>
      </c>
      <c r="B106" s="8" t="s">
        <v>53</v>
      </c>
      <c r="C106" s="8" t="s">
        <v>480</v>
      </c>
      <c r="D106" s="8" t="s">
        <v>17</v>
      </c>
      <c r="E106" s="8" t="s">
        <v>18</v>
      </c>
      <c r="F106" s="8" t="s">
        <v>291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481</v>
      </c>
      <c r="L106" s="8" t="s">
        <v>482</v>
      </c>
      <c r="M106" s="8" t="s">
        <v>51</v>
      </c>
      <c r="N106" s="11">
        <f t="shared" si="1"/>
        <v>104</v>
      </c>
    </row>
    <row r="107" spans="1:14" x14ac:dyDescent="0.25">
      <c r="A107" s="8" t="s">
        <v>483</v>
      </c>
      <c r="B107" s="8" t="s">
        <v>46</v>
      </c>
      <c r="C107" s="8" t="s">
        <v>375</v>
      </c>
      <c r="D107" s="8" t="s">
        <v>17</v>
      </c>
      <c r="E107" s="8" t="s">
        <v>18</v>
      </c>
      <c r="F107" s="8" t="s">
        <v>375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484</v>
      </c>
      <c r="M107" s="8" t="s">
        <v>30</v>
      </c>
      <c r="N107" s="11">
        <f t="shared" si="1"/>
        <v>105</v>
      </c>
    </row>
    <row r="108" spans="1:14" x14ac:dyDescent="0.25">
      <c r="A108" s="8" t="s">
        <v>485</v>
      </c>
      <c r="B108" s="8" t="s">
        <v>76</v>
      </c>
      <c r="C108" s="8" t="s">
        <v>486</v>
      </c>
      <c r="D108" s="8" t="s">
        <v>63</v>
      </c>
      <c r="E108" s="8" t="s">
        <v>18</v>
      </c>
      <c r="F108" s="8" t="s">
        <v>487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488</v>
      </c>
      <c r="M108" s="8" t="s">
        <v>30</v>
      </c>
      <c r="N108" s="11">
        <f t="shared" si="1"/>
        <v>106</v>
      </c>
    </row>
    <row r="109" spans="1:14" x14ac:dyDescent="0.25">
      <c r="A109" s="8" t="s">
        <v>489</v>
      </c>
      <c r="B109" s="8" t="s">
        <v>76</v>
      </c>
      <c r="C109" s="8" t="s">
        <v>486</v>
      </c>
      <c r="D109" s="8" t="s">
        <v>17</v>
      </c>
      <c r="E109" s="8" t="s">
        <v>18</v>
      </c>
      <c r="F109" s="8" t="s">
        <v>490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491</v>
      </c>
      <c r="M109" s="8" t="s">
        <v>30</v>
      </c>
      <c r="N109" s="11">
        <f t="shared" si="1"/>
        <v>107</v>
      </c>
    </row>
    <row r="110" spans="1:14" x14ac:dyDescent="0.25">
      <c r="A110" s="8" t="s">
        <v>492</v>
      </c>
      <c r="B110" s="8" t="s">
        <v>32</v>
      </c>
      <c r="C110" s="8" t="s">
        <v>493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494</v>
      </c>
      <c r="L110" s="8" t="s">
        <v>495</v>
      </c>
      <c r="M110" s="8" t="s">
        <v>68</v>
      </c>
      <c r="N110" s="11">
        <f t="shared" si="1"/>
        <v>108</v>
      </c>
    </row>
    <row r="111" spans="1:14" x14ac:dyDescent="0.25">
      <c r="A111" s="8" t="s">
        <v>496</v>
      </c>
      <c r="B111" s="8" t="s">
        <v>15</v>
      </c>
      <c r="C111" s="8" t="s">
        <v>87</v>
      </c>
      <c r="D111" s="8" t="s">
        <v>497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498</v>
      </c>
      <c r="M111" s="8" t="s">
        <v>37</v>
      </c>
      <c r="N111" s="11">
        <f t="shared" si="1"/>
        <v>109</v>
      </c>
    </row>
    <row r="112" spans="1:14" x14ac:dyDescent="0.25">
      <c r="A112" s="8" t="s">
        <v>499</v>
      </c>
      <c r="B112" s="8" t="s">
        <v>126</v>
      </c>
      <c r="C112" s="8" t="s">
        <v>500</v>
      </c>
      <c r="D112" s="8" t="s">
        <v>17</v>
      </c>
      <c r="E112" s="8">
        <v>1</v>
      </c>
      <c r="F112" s="8" t="s">
        <v>269</v>
      </c>
      <c r="G112" s="8">
        <v>2010</v>
      </c>
      <c r="H112" s="8" t="s">
        <v>501</v>
      </c>
      <c r="I112" s="8" t="s">
        <v>21</v>
      </c>
      <c r="J112" s="8">
        <v>351</v>
      </c>
      <c r="K112" s="8">
        <v>813</v>
      </c>
      <c r="L112" s="8" t="s">
        <v>502</v>
      </c>
      <c r="M112" s="8" t="s">
        <v>51</v>
      </c>
      <c r="N112" s="11">
        <f t="shared" si="1"/>
        <v>110</v>
      </c>
    </row>
    <row r="113" spans="1:14" x14ac:dyDescent="0.25">
      <c r="A113" s="8" t="s">
        <v>503</v>
      </c>
      <c r="B113" s="8" t="s">
        <v>126</v>
      </c>
      <c r="C113" s="8" t="s">
        <v>500</v>
      </c>
      <c r="D113" s="8" t="s">
        <v>17</v>
      </c>
      <c r="E113" s="8">
        <v>2</v>
      </c>
      <c r="F113" s="8" t="s">
        <v>269</v>
      </c>
      <c r="G113" s="8">
        <v>2010</v>
      </c>
      <c r="H113" s="8" t="s">
        <v>501</v>
      </c>
      <c r="I113" s="8" t="s">
        <v>21</v>
      </c>
      <c r="J113" s="8">
        <v>381</v>
      </c>
      <c r="K113" s="8">
        <v>813</v>
      </c>
      <c r="L113" s="8" t="s">
        <v>504</v>
      </c>
      <c r="M113" s="8" t="s">
        <v>51</v>
      </c>
      <c r="N113" s="11">
        <f t="shared" si="1"/>
        <v>111</v>
      </c>
    </row>
    <row r="114" spans="1:14" x14ac:dyDescent="0.25">
      <c r="A114" s="8" t="s">
        <v>505</v>
      </c>
      <c r="B114" s="8" t="s">
        <v>126</v>
      </c>
      <c r="C114" s="8" t="s">
        <v>500</v>
      </c>
      <c r="D114" s="8" t="s">
        <v>17</v>
      </c>
      <c r="E114" s="8">
        <v>3</v>
      </c>
      <c r="F114" s="8" t="s">
        <v>269</v>
      </c>
      <c r="G114" s="8">
        <v>2010</v>
      </c>
      <c r="H114" s="8" t="s">
        <v>501</v>
      </c>
      <c r="I114" s="8" t="s">
        <v>21</v>
      </c>
      <c r="J114" s="8">
        <v>495</v>
      </c>
      <c r="K114" s="8">
        <v>813</v>
      </c>
      <c r="L114" s="8" t="s">
        <v>506</v>
      </c>
      <c r="M114" s="8" t="s">
        <v>51</v>
      </c>
      <c r="N114" s="11">
        <f t="shared" si="1"/>
        <v>112</v>
      </c>
    </row>
    <row r="115" spans="1:14" x14ac:dyDescent="0.25">
      <c r="A115" s="8" t="s">
        <v>507</v>
      </c>
      <c r="B115" s="8" t="s">
        <v>364</v>
      </c>
      <c r="C115" s="8" t="s">
        <v>508</v>
      </c>
      <c r="D115" s="8" t="s">
        <v>17</v>
      </c>
      <c r="E115" s="8" t="s">
        <v>18</v>
      </c>
      <c r="F115" s="8" t="s">
        <v>509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510</v>
      </c>
      <c r="M115" s="8" t="s">
        <v>30</v>
      </c>
      <c r="N115" s="11">
        <f t="shared" si="1"/>
        <v>113</v>
      </c>
    </row>
    <row r="116" spans="1:14" x14ac:dyDescent="0.25">
      <c r="A116" s="8" t="s">
        <v>511</v>
      </c>
      <c r="B116" s="8" t="s">
        <v>15</v>
      </c>
      <c r="C116" s="8" t="s">
        <v>512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513</v>
      </c>
      <c r="M116" s="8" t="s">
        <v>220</v>
      </c>
      <c r="N116" s="11">
        <f t="shared" si="1"/>
        <v>114</v>
      </c>
    </row>
    <row r="117" spans="1:14" x14ac:dyDescent="0.25">
      <c r="A117" s="8" t="s">
        <v>514</v>
      </c>
      <c r="B117" s="8" t="s">
        <v>46</v>
      </c>
      <c r="C117" s="8" t="s">
        <v>515</v>
      </c>
      <c r="D117" s="8" t="s">
        <v>17</v>
      </c>
      <c r="E117" s="8" t="s">
        <v>18</v>
      </c>
      <c r="F117" s="8" t="s">
        <v>516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517</v>
      </c>
      <c r="M117" s="8" t="s">
        <v>51</v>
      </c>
      <c r="N117" s="11">
        <f t="shared" si="1"/>
        <v>115</v>
      </c>
    </row>
    <row r="118" spans="1:14" x14ac:dyDescent="0.25">
      <c r="A118" s="8" t="s">
        <v>518</v>
      </c>
      <c r="B118" s="8" t="s">
        <v>379</v>
      </c>
      <c r="C118" s="8" t="s">
        <v>519</v>
      </c>
      <c r="D118" s="8" t="s">
        <v>17</v>
      </c>
      <c r="E118" s="8">
        <v>5</v>
      </c>
      <c r="F118" s="8" t="s">
        <v>381</v>
      </c>
      <c r="G118" s="8">
        <v>2014</v>
      </c>
      <c r="H118" s="8" t="s">
        <v>520</v>
      </c>
      <c r="I118" s="8" t="s">
        <v>21</v>
      </c>
      <c r="J118" s="8">
        <v>320</v>
      </c>
      <c r="K118" s="9">
        <v>981063</v>
      </c>
      <c r="L118" s="8" t="s">
        <v>521</v>
      </c>
      <c r="M118" s="8" t="s">
        <v>30</v>
      </c>
      <c r="N118" s="11">
        <f t="shared" si="1"/>
        <v>116</v>
      </c>
    </row>
    <row r="119" spans="1:14" x14ac:dyDescent="0.25">
      <c r="A119" s="8" t="s">
        <v>522</v>
      </c>
      <c r="B119" s="8" t="s">
        <v>523</v>
      </c>
      <c r="C119" s="8" t="s">
        <v>524</v>
      </c>
      <c r="D119" s="8" t="s">
        <v>17</v>
      </c>
      <c r="E119" s="8" t="s">
        <v>18</v>
      </c>
      <c r="F119" s="8" t="s">
        <v>516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525</v>
      </c>
      <c r="L119" s="8" t="s">
        <v>526</v>
      </c>
      <c r="M119" s="8" t="s">
        <v>51</v>
      </c>
      <c r="N119" s="11">
        <f t="shared" si="1"/>
        <v>117</v>
      </c>
    </row>
    <row r="120" spans="1:14" x14ac:dyDescent="0.25">
      <c r="A120" s="8" t="s">
        <v>527</v>
      </c>
      <c r="B120" s="8" t="s">
        <v>32</v>
      </c>
      <c r="C120" s="8" t="s">
        <v>528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529</v>
      </c>
      <c r="M120" s="8" t="s">
        <v>530</v>
      </c>
      <c r="N120" s="11">
        <f t="shared" si="1"/>
        <v>118</v>
      </c>
    </row>
    <row r="121" spans="1:14" x14ac:dyDescent="0.25">
      <c r="A121" s="8" t="s">
        <v>531</v>
      </c>
      <c r="B121" s="8" t="s">
        <v>532</v>
      </c>
      <c r="C121" s="8" t="s">
        <v>533</v>
      </c>
      <c r="D121" s="8" t="s">
        <v>17</v>
      </c>
      <c r="E121" s="8" t="s">
        <v>18</v>
      </c>
      <c r="F121" s="8" t="s">
        <v>534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535</v>
      </c>
      <c r="M121" s="8" t="s">
        <v>68</v>
      </c>
      <c r="N121" s="11">
        <f t="shared" si="1"/>
        <v>119</v>
      </c>
    </row>
    <row r="122" spans="1:14" x14ac:dyDescent="0.25">
      <c r="A122" s="8" t="s">
        <v>536</v>
      </c>
      <c r="B122" s="8" t="s">
        <v>537</v>
      </c>
      <c r="C122" s="8" t="s">
        <v>538</v>
      </c>
      <c r="D122" s="8" t="s">
        <v>539</v>
      </c>
      <c r="E122" s="8" t="s">
        <v>18</v>
      </c>
      <c r="F122" s="8" t="s">
        <v>540</v>
      </c>
      <c r="G122" s="8" t="s">
        <v>541</v>
      </c>
      <c r="H122" s="8" t="s">
        <v>18</v>
      </c>
      <c r="I122" s="8" t="s">
        <v>542</v>
      </c>
      <c r="J122" s="8">
        <v>248</v>
      </c>
      <c r="K122" s="8"/>
      <c r="L122" s="8" t="s">
        <v>543</v>
      </c>
      <c r="M122" s="8" t="s">
        <v>113</v>
      </c>
      <c r="N122" s="11">
        <f t="shared" si="1"/>
        <v>120</v>
      </c>
    </row>
    <row r="123" spans="1:14" x14ac:dyDescent="0.25">
      <c r="A123" s="8" t="s">
        <v>544</v>
      </c>
      <c r="B123" s="8" t="s">
        <v>523</v>
      </c>
      <c r="C123" s="8" t="s">
        <v>545</v>
      </c>
      <c r="D123" s="8" t="s">
        <v>546</v>
      </c>
      <c r="E123" s="8" t="s">
        <v>18</v>
      </c>
      <c r="F123" s="8" t="s">
        <v>547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548</v>
      </c>
      <c r="L123" s="8" t="s">
        <v>549</v>
      </c>
      <c r="M123" s="8" t="s">
        <v>51</v>
      </c>
      <c r="N123" s="11">
        <f t="shared" si="1"/>
        <v>121</v>
      </c>
    </row>
    <row r="124" spans="1:14" x14ac:dyDescent="0.25">
      <c r="A124" s="8" t="s">
        <v>550</v>
      </c>
      <c r="B124" s="8" t="s">
        <v>551</v>
      </c>
      <c r="C124" s="8" t="s">
        <v>552</v>
      </c>
      <c r="D124" s="8" t="s">
        <v>17</v>
      </c>
      <c r="E124" s="8" t="s">
        <v>18</v>
      </c>
      <c r="F124" s="8" t="s">
        <v>553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554</v>
      </c>
      <c r="M124" s="8" t="s">
        <v>30</v>
      </c>
      <c r="N124" s="11">
        <f t="shared" si="1"/>
        <v>122</v>
      </c>
    </row>
    <row r="125" spans="1:14" x14ac:dyDescent="0.25">
      <c r="A125" s="8" t="s">
        <v>555</v>
      </c>
      <c r="B125" s="8" t="s">
        <v>379</v>
      </c>
      <c r="C125" s="8" t="s">
        <v>556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557</v>
      </c>
      <c r="M125" s="8" t="s">
        <v>68</v>
      </c>
      <c r="N125" s="11">
        <f t="shared" si="1"/>
        <v>123</v>
      </c>
    </row>
    <row r="126" spans="1:14" x14ac:dyDescent="0.25">
      <c r="A126" s="8" t="s">
        <v>558</v>
      </c>
      <c r="B126" s="8" t="s">
        <v>364</v>
      </c>
      <c r="C126" s="8" t="s">
        <v>559</v>
      </c>
      <c r="D126" s="8" t="s">
        <v>17</v>
      </c>
      <c r="E126" s="8" t="s">
        <v>18</v>
      </c>
      <c r="F126" s="8" t="s">
        <v>560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561</v>
      </c>
      <c r="M126" s="8" t="s">
        <v>68</v>
      </c>
      <c r="N126" s="11">
        <f t="shared" si="1"/>
        <v>124</v>
      </c>
    </row>
    <row r="127" spans="1:14" x14ac:dyDescent="0.25">
      <c r="A127" s="8" t="s">
        <v>562</v>
      </c>
      <c r="B127" s="8" t="s">
        <v>126</v>
      </c>
      <c r="C127" s="8" t="s">
        <v>563</v>
      </c>
      <c r="D127" s="8" t="s">
        <v>17</v>
      </c>
      <c r="E127" s="8" t="s">
        <v>18</v>
      </c>
      <c r="F127" s="8" t="s">
        <v>564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565</v>
      </c>
      <c r="M127" s="8" t="s">
        <v>51</v>
      </c>
      <c r="N127" s="11">
        <f t="shared" si="1"/>
        <v>125</v>
      </c>
    </row>
    <row r="128" spans="1:14" x14ac:dyDescent="0.25">
      <c r="A128" s="8" t="s">
        <v>566</v>
      </c>
      <c r="B128" s="8" t="s">
        <v>567</v>
      </c>
      <c r="C128" s="8" t="s">
        <v>568</v>
      </c>
      <c r="D128" s="8" t="s">
        <v>17</v>
      </c>
      <c r="E128" s="8" t="s">
        <v>18</v>
      </c>
      <c r="F128" s="8" t="s">
        <v>569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570</v>
      </c>
      <c r="M128" s="8" t="s">
        <v>51</v>
      </c>
      <c r="N128" s="11">
        <f t="shared" si="1"/>
        <v>126</v>
      </c>
    </row>
    <row r="129" spans="1:14" x14ac:dyDescent="0.25">
      <c r="A129" s="8" t="s">
        <v>571</v>
      </c>
      <c r="B129" s="8" t="s">
        <v>171</v>
      </c>
      <c r="C129" s="8" t="s">
        <v>572</v>
      </c>
      <c r="D129" s="8" t="s">
        <v>17</v>
      </c>
      <c r="E129" s="8" t="s">
        <v>18</v>
      </c>
      <c r="F129" s="8" t="s">
        <v>139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573</v>
      </c>
      <c r="L129" s="8" t="s">
        <v>574</v>
      </c>
      <c r="M129" s="8" t="s">
        <v>220</v>
      </c>
      <c r="N129" s="11">
        <f t="shared" si="1"/>
        <v>127</v>
      </c>
    </row>
    <row r="130" spans="1:14" x14ac:dyDescent="0.25">
      <c r="A130" s="8" t="s">
        <v>575</v>
      </c>
      <c r="B130" s="8" t="s">
        <v>576</v>
      </c>
      <c r="C130" s="8" t="s">
        <v>577</v>
      </c>
      <c r="D130" s="8" t="s">
        <v>17</v>
      </c>
      <c r="E130" s="8">
        <v>1</v>
      </c>
      <c r="F130" s="8" t="s">
        <v>578</v>
      </c>
      <c r="G130" s="8" t="s">
        <v>579</v>
      </c>
      <c r="H130" s="8" t="s">
        <v>748</v>
      </c>
      <c r="I130" s="8" t="s">
        <v>21</v>
      </c>
      <c r="J130" s="8">
        <v>166</v>
      </c>
      <c r="K130" s="8"/>
      <c r="L130" s="8" t="s">
        <v>580</v>
      </c>
      <c r="M130" s="8" t="s">
        <v>30</v>
      </c>
      <c r="N130" s="11">
        <f t="shared" si="1"/>
        <v>128</v>
      </c>
    </row>
    <row r="131" spans="1:14" x14ac:dyDescent="0.25">
      <c r="A131" s="8" t="s">
        <v>581</v>
      </c>
      <c r="B131" s="8" t="s">
        <v>576</v>
      </c>
      <c r="C131" s="8" t="s">
        <v>577</v>
      </c>
      <c r="D131" s="8" t="s">
        <v>17</v>
      </c>
      <c r="E131" s="8">
        <v>2</v>
      </c>
      <c r="F131" s="8" t="s">
        <v>578</v>
      </c>
      <c r="G131" s="8" t="s">
        <v>579</v>
      </c>
      <c r="H131" s="8" t="s">
        <v>748</v>
      </c>
      <c r="I131" s="8" t="s">
        <v>21</v>
      </c>
      <c r="J131" s="8">
        <v>166</v>
      </c>
      <c r="K131" s="8"/>
      <c r="L131" s="8" t="s">
        <v>582</v>
      </c>
      <c r="M131" s="8" t="s">
        <v>30</v>
      </c>
      <c r="N131" s="11">
        <f t="shared" si="1"/>
        <v>129</v>
      </c>
    </row>
    <row r="132" spans="1:14" x14ac:dyDescent="0.25">
      <c r="A132" s="8" t="s">
        <v>583</v>
      </c>
      <c r="B132" s="8" t="s">
        <v>576</v>
      </c>
      <c r="C132" s="8" t="s">
        <v>577</v>
      </c>
      <c r="D132" s="8" t="s">
        <v>17</v>
      </c>
      <c r="E132" s="8">
        <v>3</v>
      </c>
      <c r="F132" s="8" t="s">
        <v>578</v>
      </c>
      <c r="G132" s="8" t="s">
        <v>579</v>
      </c>
      <c r="H132" s="8" t="s">
        <v>748</v>
      </c>
      <c r="I132" s="8" t="s">
        <v>21</v>
      </c>
      <c r="J132" s="8">
        <v>166</v>
      </c>
      <c r="K132" s="8"/>
      <c r="L132" s="8" t="s">
        <v>584</v>
      </c>
      <c r="M132" s="8" t="s">
        <v>30</v>
      </c>
      <c r="N132" s="11">
        <f t="shared" ref="N132:N158" si="2">IF(A132&lt;&gt;"", ROW(A132)-2, "")</f>
        <v>130</v>
      </c>
    </row>
    <row r="133" spans="1:14" x14ac:dyDescent="0.25">
      <c r="A133" s="8" t="s">
        <v>585</v>
      </c>
      <c r="B133" s="8" t="s">
        <v>576</v>
      </c>
      <c r="C133" s="8" t="s">
        <v>577</v>
      </c>
      <c r="D133" s="8" t="s">
        <v>17</v>
      </c>
      <c r="E133" s="8">
        <v>4</v>
      </c>
      <c r="F133" s="8" t="s">
        <v>578</v>
      </c>
      <c r="G133" s="8" t="s">
        <v>579</v>
      </c>
      <c r="H133" s="8" t="s">
        <v>748</v>
      </c>
      <c r="I133" s="8" t="s">
        <v>21</v>
      </c>
      <c r="J133" s="8">
        <v>166</v>
      </c>
      <c r="K133" s="8"/>
      <c r="L133" s="8" t="s">
        <v>586</v>
      </c>
      <c r="M133" s="8" t="s">
        <v>30</v>
      </c>
      <c r="N133" s="11">
        <f t="shared" si="2"/>
        <v>131</v>
      </c>
    </row>
    <row r="134" spans="1:14" x14ac:dyDescent="0.25">
      <c r="A134" s="8" t="s">
        <v>587</v>
      </c>
      <c r="B134" s="8" t="s">
        <v>472</v>
      </c>
      <c r="C134" s="8" t="s">
        <v>588</v>
      </c>
      <c r="D134" s="8" t="s">
        <v>17</v>
      </c>
      <c r="E134" s="8" t="s">
        <v>18</v>
      </c>
      <c r="F134" s="8" t="s">
        <v>589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590</v>
      </c>
      <c r="M134" s="8" t="s">
        <v>30</v>
      </c>
      <c r="N134" s="11">
        <f t="shared" si="2"/>
        <v>132</v>
      </c>
    </row>
    <row r="135" spans="1:14" x14ac:dyDescent="0.25">
      <c r="A135" s="8" t="s">
        <v>591</v>
      </c>
      <c r="B135" s="8" t="s">
        <v>411</v>
      </c>
      <c r="C135" s="8" t="s">
        <v>592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593</v>
      </c>
      <c r="L135" s="8" t="s">
        <v>594</v>
      </c>
      <c r="M135" s="8" t="s">
        <v>30</v>
      </c>
      <c r="N135" s="11">
        <f t="shared" si="2"/>
        <v>133</v>
      </c>
    </row>
    <row r="136" spans="1:14" x14ac:dyDescent="0.25">
      <c r="A136" s="8" t="s">
        <v>595</v>
      </c>
      <c r="B136" s="8" t="s">
        <v>21</v>
      </c>
      <c r="C136" s="8" t="s">
        <v>596</v>
      </c>
      <c r="D136" s="8" t="s">
        <v>17</v>
      </c>
      <c r="E136" s="8" t="s">
        <v>18</v>
      </c>
      <c r="F136" s="8" t="s">
        <v>597</v>
      </c>
      <c r="G136" s="8" t="s">
        <v>598</v>
      </c>
      <c r="H136" s="8" t="s">
        <v>18</v>
      </c>
      <c r="I136" s="8" t="s">
        <v>21</v>
      </c>
      <c r="J136" s="8">
        <v>453</v>
      </c>
      <c r="K136" s="8"/>
      <c r="L136" s="8" t="s">
        <v>599</v>
      </c>
      <c r="M136" s="8" t="s">
        <v>30</v>
      </c>
      <c r="N136" s="11">
        <f t="shared" si="2"/>
        <v>134</v>
      </c>
    </row>
    <row r="137" spans="1:14" x14ac:dyDescent="0.25">
      <c r="A137" s="8" t="s">
        <v>600</v>
      </c>
      <c r="B137" s="8" t="s">
        <v>601</v>
      </c>
      <c r="C137" s="8" t="s">
        <v>602</v>
      </c>
      <c r="D137" s="8" t="s">
        <v>63</v>
      </c>
      <c r="E137" s="8">
        <v>1</v>
      </c>
      <c r="F137" s="8" t="s">
        <v>603</v>
      </c>
      <c r="G137" s="8">
        <v>2003</v>
      </c>
      <c r="H137" s="8" t="s">
        <v>604</v>
      </c>
      <c r="I137" s="8" t="s">
        <v>21</v>
      </c>
      <c r="J137" s="8">
        <v>354</v>
      </c>
      <c r="K137" s="8" t="s">
        <v>605</v>
      </c>
      <c r="L137" s="8" t="s">
        <v>606</v>
      </c>
      <c r="M137" s="8" t="s">
        <v>30</v>
      </c>
      <c r="N137" s="11">
        <f t="shared" si="2"/>
        <v>135</v>
      </c>
    </row>
    <row r="138" spans="1:14" x14ac:dyDescent="0.25">
      <c r="A138" s="8" t="s">
        <v>607</v>
      </c>
      <c r="B138" s="8" t="s">
        <v>608</v>
      </c>
      <c r="C138" s="8" t="s">
        <v>609</v>
      </c>
      <c r="D138" s="8" t="s">
        <v>157</v>
      </c>
      <c r="E138" s="8" t="s">
        <v>18</v>
      </c>
      <c r="F138" s="8" t="s">
        <v>610</v>
      </c>
      <c r="G138" s="8">
        <v>2009</v>
      </c>
      <c r="H138" s="8" t="s">
        <v>18</v>
      </c>
      <c r="I138" s="8" t="s">
        <v>147</v>
      </c>
      <c r="J138" s="8">
        <v>359</v>
      </c>
      <c r="K138" s="8"/>
      <c r="L138" s="8" t="s">
        <v>611</v>
      </c>
      <c r="M138" s="8" t="s">
        <v>51</v>
      </c>
      <c r="N138" s="11">
        <f t="shared" si="2"/>
        <v>136</v>
      </c>
    </row>
    <row r="139" spans="1:14" x14ac:dyDescent="0.25">
      <c r="A139" s="8" t="s">
        <v>612</v>
      </c>
      <c r="B139" s="8" t="s">
        <v>608</v>
      </c>
      <c r="C139" s="8" t="s">
        <v>613</v>
      </c>
      <c r="D139" s="8" t="s">
        <v>63</v>
      </c>
      <c r="E139" s="8" t="s">
        <v>18</v>
      </c>
      <c r="F139" s="8" t="s">
        <v>614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615</v>
      </c>
      <c r="M139" s="8" t="s">
        <v>30</v>
      </c>
      <c r="N139" s="11">
        <f t="shared" si="2"/>
        <v>137</v>
      </c>
    </row>
    <row r="140" spans="1:14" x14ac:dyDescent="0.25">
      <c r="A140" s="8" t="s">
        <v>616</v>
      </c>
      <c r="B140" s="8" t="s">
        <v>617</v>
      </c>
      <c r="C140" s="8" t="s">
        <v>618</v>
      </c>
      <c r="D140" s="8" t="s">
        <v>619</v>
      </c>
      <c r="E140" s="8" t="s">
        <v>18</v>
      </c>
      <c r="F140" s="8" t="s">
        <v>620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621</v>
      </c>
      <c r="M140" s="8" t="s">
        <v>30</v>
      </c>
      <c r="N140" s="11">
        <f t="shared" si="2"/>
        <v>138</v>
      </c>
    </row>
    <row r="141" spans="1:14" x14ac:dyDescent="0.25">
      <c r="A141" s="8" t="s">
        <v>622</v>
      </c>
      <c r="B141" s="8" t="s">
        <v>623</v>
      </c>
      <c r="C141" s="8" t="s">
        <v>624</v>
      </c>
      <c r="D141" s="8" t="s">
        <v>17</v>
      </c>
      <c r="E141" s="8" t="s">
        <v>18</v>
      </c>
      <c r="F141" s="8" t="s">
        <v>625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626</v>
      </c>
      <c r="M141" s="8" t="s">
        <v>30</v>
      </c>
      <c r="N141" s="11">
        <f t="shared" si="2"/>
        <v>139</v>
      </c>
    </row>
    <row r="142" spans="1:14" x14ac:dyDescent="0.25">
      <c r="A142" s="8" t="s">
        <v>627</v>
      </c>
      <c r="B142" s="8" t="s">
        <v>628</v>
      </c>
      <c r="C142" s="8" t="s">
        <v>629</v>
      </c>
      <c r="D142" s="8" t="s">
        <v>17</v>
      </c>
      <c r="E142" s="8" t="s">
        <v>18</v>
      </c>
      <c r="F142" s="8" t="s">
        <v>630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631</v>
      </c>
      <c r="M142" s="8" t="s">
        <v>30</v>
      </c>
      <c r="N142" s="11">
        <f t="shared" si="2"/>
        <v>140</v>
      </c>
    </row>
    <row r="143" spans="1:14" x14ac:dyDescent="0.25">
      <c r="A143" s="8" t="s">
        <v>632</v>
      </c>
      <c r="B143" s="8" t="s">
        <v>633</v>
      </c>
      <c r="C143" s="8" t="s">
        <v>634</v>
      </c>
      <c r="D143" s="8" t="s">
        <v>18</v>
      </c>
      <c r="E143" s="8" t="s">
        <v>18</v>
      </c>
      <c r="F143" s="8" t="s">
        <v>634</v>
      </c>
      <c r="G143" s="8">
        <v>2009</v>
      </c>
      <c r="H143" s="8" t="s">
        <v>18</v>
      </c>
      <c r="I143" s="8" t="s">
        <v>653</v>
      </c>
      <c r="J143" s="8" t="s">
        <v>541</v>
      </c>
      <c r="K143" s="8"/>
      <c r="L143" s="8" t="s">
        <v>635</v>
      </c>
      <c r="M143" s="8" t="s">
        <v>30</v>
      </c>
      <c r="N143" s="11">
        <f t="shared" si="2"/>
        <v>141</v>
      </c>
    </row>
    <row r="144" spans="1:14" x14ac:dyDescent="0.25">
      <c r="A144" s="8" t="s">
        <v>636</v>
      </c>
      <c r="B144" s="8" t="s">
        <v>633</v>
      </c>
      <c r="C144" s="8" t="s">
        <v>634</v>
      </c>
      <c r="D144" s="8" t="s">
        <v>18</v>
      </c>
      <c r="E144" s="8" t="s">
        <v>18</v>
      </c>
      <c r="F144" s="8" t="s">
        <v>634</v>
      </c>
      <c r="G144" s="8">
        <v>2010</v>
      </c>
      <c r="H144" s="8" t="s">
        <v>18</v>
      </c>
      <c r="I144" s="8" t="s">
        <v>637</v>
      </c>
      <c r="J144" s="8" t="s">
        <v>541</v>
      </c>
      <c r="K144" s="8"/>
      <c r="L144" s="8" t="s">
        <v>638</v>
      </c>
      <c r="M144" s="8" t="s">
        <v>30</v>
      </c>
      <c r="N144" s="11">
        <f t="shared" si="2"/>
        <v>142</v>
      </c>
    </row>
    <row r="145" spans="1:16" x14ac:dyDescent="0.25">
      <c r="A145" s="8" t="s">
        <v>639</v>
      </c>
      <c r="B145" s="8" t="s">
        <v>633</v>
      </c>
      <c r="C145" s="8" t="s">
        <v>640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641</v>
      </c>
      <c r="M145" s="8" t="s">
        <v>30</v>
      </c>
      <c r="N145" s="11">
        <f t="shared" si="2"/>
        <v>143</v>
      </c>
    </row>
    <row r="146" spans="1:16" x14ac:dyDescent="0.25">
      <c r="A146" s="8" t="s">
        <v>740</v>
      </c>
      <c r="B146" s="8" t="s">
        <v>633</v>
      </c>
      <c r="C146" s="8" t="s">
        <v>642</v>
      </c>
      <c r="D146" s="8" t="s">
        <v>643</v>
      </c>
      <c r="E146" s="8" t="s">
        <v>18</v>
      </c>
      <c r="F146" s="8" t="s">
        <v>644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645</v>
      </c>
      <c r="M146" s="8" t="s">
        <v>30</v>
      </c>
      <c r="N146" s="11">
        <f t="shared" si="2"/>
        <v>144</v>
      </c>
    </row>
    <row r="147" spans="1:16" x14ac:dyDescent="0.25">
      <c r="A147" s="8" t="s">
        <v>739</v>
      </c>
      <c r="B147" s="8" t="s">
        <v>633</v>
      </c>
      <c r="C147" s="8" t="s">
        <v>642</v>
      </c>
      <c r="D147" s="8" t="s">
        <v>392</v>
      </c>
      <c r="E147" s="8" t="s">
        <v>18</v>
      </c>
      <c r="F147" s="8" t="s">
        <v>644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646</v>
      </c>
      <c r="M147" s="8" t="s">
        <v>30</v>
      </c>
      <c r="N147" s="11">
        <f t="shared" si="2"/>
        <v>145</v>
      </c>
    </row>
    <row r="148" spans="1:16" x14ac:dyDescent="0.25">
      <c r="A148" s="8" t="s">
        <v>647</v>
      </c>
      <c r="B148" s="8" t="s">
        <v>633</v>
      </c>
      <c r="C148" s="8" t="s">
        <v>648</v>
      </c>
      <c r="D148" s="8" t="s">
        <v>541</v>
      </c>
      <c r="E148" s="8" t="s">
        <v>18</v>
      </c>
      <c r="F148" s="8" t="s">
        <v>648</v>
      </c>
      <c r="G148" s="8" t="s">
        <v>541</v>
      </c>
      <c r="H148" s="8" t="s">
        <v>18</v>
      </c>
      <c r="I148" s="8" t="s">
        <v>649</v>
      </c>
      <c r="J148" s="8">
        <v>1344</v>
      </c>
      <c r="K148" s="8"/>
      <c r="L148" s="8" t="s">
        <v>650</v>
      </c>
      <c r="M148" s="8" t="s">
        <v>37</v>
      </c>
      <c r="N148" s="11">
        <f t="shared" si="2"/>
        <v>146</v>
      </c>
    </row>
    <row r="149" spans="1:16" x14ac:dyDescent="0.25">
      <c r="A149" s="8" t="s">
        <v>651</v>
      </c>
      <c r="B149" s="8" t="s">
        <v>633</v>
      </c>
      <c r="C149" s="8" t="s">
        <v>652</v>
      </c>
      <c r="D149" s="8" t="s">
        <v>541</v>
      </c>
      <c r="E149" s="8" t="s">
        <v>541</v>
      </c>
      <c r="F149" s="8" t="s">
        <v>278</v>
      </c>
      <c r="G149" s="8" t="s">
        <v>541</v>
      </c>
      <c r="H149" s="8" t="s">
        <v>18</v>
      </c>
      <c r="I149" s="8" t="s">
        <v>653</v>
      </c>
      <c r="J149" s="8">
        <v>618</v>
      </c>
      <c r="K149" s="8"/>
      <c r="L149" s="8" t="s">
        <v>654</v>
      </c>
      <c r="M149" s="8" t="s">
        <v>30</v>
      </c>
      <c r="N149" s="11">
        <f t="shared" si="2"/>
        <v>147</v>
      </c>
    </row>
    <row r="150" spans="1:16" x14ac:dyDescent="0.25">
      <c r="A150" s="8" t="s">
        <v>655</v>
      </c>
      <c r="B150" s="8" t="s">
        <v>656</v>
      </c>
      <c r="C150" s="8" t="s">
        <v>657</v>
      </c>
      <c r="D150" s="8" t="s">
        <v>63</v>
      </c>
      <c r="E150" s="8" t="s">
        <v>18</v>
      </c>
      <c r="F150" s="8" t="s">
        <v>658</v>
      </c>
      <c r="G150" s="8">
        <v>2007</v>
      </c>
      <c r="H150" s="8" t="s">
        <v>656</v>
      </c>
      <c r="I150" s="8" t="s">
        <v>21</v>
      </c>
      <c r="J150" s="8">
        <v>63</v>
      </c>
      <c r="K150" s="8"/>
      <c r="L150" s="8" t="s">
        <v>659</v>
      </c>
      <c r="M150" s="8" t="s">
        <v>30</v>
      </c>
      <c r="N150" s="11">
        <f t="shared" si="2"/>
        <v>148</v>
      </c>
      <c r="O150" s="14"/>
      <c r="P150" s="18"/>
    </row>
    <row r="151" spans="1:16" x14ac:dyDescent="0.25">
      <c r="A151" s="8" t="s">
        <v>660</v>
      </c>
      <c r="B151" s="8" t="s">
        <v>661</v>
      </c>
      <c r="C151" s="8" t="s">
        <v>662</v>
      </c>
      <c r="D151" s="8" t="s">
        <v>17</v>
      </c>
      <c r="E151" s="8" t="s">
        <v>18</v>
      </c>
      <c r="F151" s="8" t="s">
        <v>663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664</v>
      </c>
      <c r="M151" s="8" t="s">
        <v>30</v>
      </c>
      <c r="N151" s="11">
        <f t="shared" si="2"/>
        <v>149</v>
      </c>
    </row>
    <row r="152" spans="1:16" x14ac:dyDescent="0.25">
      <c r="A152" s="8" t="s">
        <v>665</v>
      </c>
      <c r="B152" s="8" t="s">
        <v>666</v>
      </c>
      <c r="C152" s="8" t="s">
        <v>667</v>
      </c>
      <c r="D152" s="8" t="s">
        <v>17</v>
      </c>
      <c r="E152" s="8" t="s">
        <v>18</v>
      </c>
      <c r="F152" s="8" t="s">
        <v>630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668</v>
      </c>
      <c r="M152" s="8" t="s">
        <v>30</v>
      </c>
      <c r="N152" s="11">
        <f t="shared" si="2"/>
        <v>150</v>
      </c>
    </row>
    <row r="153" spans="1:16" x14ac:dyDescent="0.25">
      <c r="A153" s="8" t="s">
        <v>669</v>
      </c>
      <c r="B153" s="8" t="s">
        <v>670</v>
      </c>
      <c r="C153" s="8" t="s">
        <v>671</v>
      </c>
      <c r="D153" s="8" t="s">
        <v>63</v>
      </c>
      <c r="E153" s="8" t="s">
        <v>18</v>
      </c>
      <c r="F153" s="8" t="s">
        <v>630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672</v>
      </c>
      <c r="M153" s="8" t="s">
        <v>51</v>
      </c>
      <c r="N153" s="11">
        <f t="shared" si="2"/>
        <v>151</v>
      </c>
    </row>
    <row r="154" spans="1:16" x14ac:dyDescent="0.25">
      <c r="A154" s="8" t="s">
        <v>673</v>
      </c>
      <c r="B154" s="8" t="s">
        <v>205</v>
      </c>
      <c r="C154" s="8" t="s">
        <v>674</v>
      </c>
      <c r="D154" s="8" t="s">
        <v>17</v>
      </c>
      <c r="E154" s="8" t="s">
        <v>18</v>
      </c>
      <c r="F154" s="8" t="s">
        <v>675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676</v>
      </c>
      <c r="M154" s="8" t="s">
        <v>30</v>
      </c>
      <c r="N154" s="11">
        <f t="shared" si="2"/>
        <v>152</v>
      </c>
    </row>
    <row r="155" spans="1:16" x14ac:dyDescent="0.25">
      <c r="A155" s="8" t="s">
        <v>677</v>
      </c>
      <c r="B155" s="8" t="s">
        <v>205</v>
      </c>
      <c r="C155" s="8" t="s">
        <v>678</v>
      </c>
      <c r="D155" s="8" t="s">
        <v>17</v>
      </c>
      <c r="E155" s="8">
        <v>1</v>
      </c>
      <c r="F155" s="8" t="s">
        <v>679</v>
      </c>
      <c r="G155" s="8">
        <v>2011</v>
      </c>
      <c r="H155" s="8" t="s">
        <v>680</v>
      </c>
      <c r="I155" s="8" t="s">
        <v>21</v>
      </c>
      <c r="J155" s="8">
        <v>141</v>
      </c>
      <c r="K155" s="8"/>
      <c r="L155" s="8" t="s">
        <v>681</v>
      </c>
      <c r="M155" s="8" t="s">
        <v>30</v>
      </c>
      <c r="N155" s="11">
        <f t="shared" si="2"/>
        <v>153</v>
      </c>
      <c r="O155" s="14"/>
    </row>
    <row r="156" spans="1:16" x14ac:dyDescent="0.25">
      <c r="A156" s="8" t="s">
        <v>682</v>
      </c>
      <c r="B156" s="8" t="s">
        <v>656</v>
      </c>
      <c r="C156" s="8" t="s">
        <v>683</v>
      </c>
      <c r="D156" s="8" t="s">
        <v>392</v>
      </c>
      <c r="E156" s="8" t="s">
        <v>18</v>
      </c>
      <c r="F156" s="8" t="s">
        <v>684</v>
      </c>
      <c r="G156" s="8">
        <v>2006</v>
      </c>
      <c r="H156" s="8" t="s">
        <v>685</v>
      </c>
      <c r="I156" s="8" t="s">
        <v>21</v>
      </c>
      <c r="J156" s="8">
        <v>54</v>
      </c>
      <c r="K156" s="8" t="s">
        <v>686</v>
      </c>
      <c r="L156" s="8" t="s">
        <v>687</v>
      </c>
      <c r="M156" s="8" t="s">
        <v>30</v>
      </c>
      <c r="N156" s="11">
        <f t="shared" si="2"/>
        <v>154</v>
      </c>
      <c r="O156" s="14"/>
    </row>
    <row r="157" spans="1:16" x14ac:dyDescent="0.25">
      <c r="A157" s="8" t="s">
        <v>688</v>
      </c>
      <c r="B157" s="8" t="s">
        <v>205</v>
      </c>
      <c r="C157" s="8" t="s">
        <v>689</v>
      </c>
      <c r="D157" s="8" t="s">
        <v>690</v>
      </c>
      <c r="E157" s="8" t="s">
        <v>18</v>
      </c>
      <c r="F157" s="8" t="s">
        <v>691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208</v>
      </c>
      <c r="L157" s="8" t="s">
        <v>692</v>
      </c>
      <c r="M157" s="8" t="s">
        <v>220</v>
      </c>
      <c r="N157" s="11">
        <f t="shared" si="2"/>
        <v>155</v>
      </c>
    </row>
    <row r="158" spans="1:16" x14ac:dyDescent="0.25">
      <c r="A158" s="8" t="s">
        <v>693</v>
      </c>
      <c r="B158" s="8" t="s">
        <v>694</v>
      </c>
      <c r="C158" s="8" t="s">
        <v>695</v>
      </c>
      <c r="D158" s="8" t="s">
        <v>17</v>
      </c>
      <c r="E158" s="8" t="s">
        <v>18</v>
      </c>
      <c r="F158" s="8" t="s">
        <v>696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697</v>
      </c>
      <c r="M158" s="8" t="s">
        <v>30</v>
      </c>
      <c r="N158" s="11">
        <f t="shared" si="2"/>
        <v>156</v>
      </c>
    </row>
    <row r="159" spans="1:16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6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  <row r="165" spans="4:12" x14ac:dyDescent="0.25">
      <c r="D165" s="22"/>
      <c r="E165" s="22"/>
      <c r="F165" s="22"/>
      <c r="G165" s="22"/>
      <c r="H165" s="22"/>
      <c r="I165" s="22"/>
      <c r="J165" s="22"/>
      <c r="K165" s="22"/>
      <c r="L165" s="22"/>
    </row>
  </sheetData>
  <sortState xmlns:xlrd2="http://schemas.microsoft.com/office/spreadsheetml/2017/richdata2" ref="B21:G21">
    <sortCondition ref="B21"/>
  </sortState>
  <mergeCells count="1">
    <mergeCell ref="B1:N1"/>
  </mergeCells>
  <conditionalFormatting sqref="L159:L1048576 L2:L140 L145:L149">
    <cfRule type="duplicateValues" dxfId="1" priority="65"/>
  </conditionalFormatting>
  <conditionalFormatting sqref="A1:A1048576">
    <cfRule type="duplicateValues" dxfId="0" priority="1"/>
  </conditionalFormatting>
  <hyperlinks>
    <hyperlink ref="A1" location="Dashboard!A1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T132"/>
  <sheetViews>
    <sheetView workbookViewId="0">
      <pane ySplit="1" topLeftCell="A2" activePane="bottomLeft" state="frozen"/>
      <selection pane="bottomLeft" sqref="A1:C1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7.140625" bestFit="1" customWidth="1"/>
    <col min="23" max="23" width="12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0" ht="31.5" customHeight="1" x14ac:dyDescent="0.25">
      <c r="A1" s="234" t="s">
        <v>745</v>
      </c>
      <c r="B1" s="235"/>
      <c r="C1" s="235"/>
      <c r="D1" s="25" t="s">
        <v>738</v>
      </c>
    </row>
    <row r="3" spans="1:20" x14ac:dyDescent="0.25">
      <c r="A3" s="1" t="s">
        <v>1</v>
      </c>
      <c r="B3" t="s">
        <v>705</v>
      </c>
      <c r="D3" s="1" t="s">
        <v>2</v>
      </c>
      <c r="E3" t="s">
        <v>705</v>
      </c>
      <c r="G3" s="1" t="s">
        <v>5</v>
      </c>
      <c r="H3" t="s">
        <v>705</v>
      </c>
      <c r="J3" s="1" t="s">
        <v>8</v>
      </c>
      <c r="K3" t="s">
        <v>705</v>
      </c>
      <c r="M3" s="1" t="s">
        <v>12</v>
      </c>
      <c r="N3" t="s">
        <v>705</v>
      </c>
      <c r="P3" s="1" t="s">
        <v>6</v>
      </c>
      <c r="Q3" s="21" t="s">
        <v>705</v>
      </c>
      <c r="S3" s="1" t="s">
        <v>7</v>
      </c>
      <c r="T3" s="20" t="s">
        <v>705</v>
      </c>
    </row>
    <row r="4" spans="1:20" x14ac:dyDescent="0.25">
      <c r="A4" t="s">
        <v>120</v>
      </c>
      <c r="B4" s="2">
        <v>28</v>
      </c>
      <c r="D4" t="s">
        <v>577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</row>
    <row r="5" spans="1:20" x14ac:dyDescent="0.25">
      <c r="A5" t="s">
        <v>126</v>
      </c>
      <c r="B5" s="2">
        <v>18</v>
      </c>
      <c r="D5" t="s">
        <v>250</v>
      </c>
      <c r="E5" s="2">
        <v>3</v>
      </c>
      <c r="G5" t="s">
        <v>64</v>
      </c>
      <c r="H5" s="2">
        <v>8</v>
      </c>
      <c r="J5" t="s">
        <v>147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</row>
    <row r="6" spans="1:20" x14ac:dyDescent="0.25">
      <c r="A6" t="s">
        <v>32</v>
      </c>
      <c r="B6" s="2">
        <v>10</v>
      </c>
      <c r="D6" t="s">
        <v>391</v>
      </c>
      <c r="E6" s="2">
        <v>3</v>
      </c>
      <c r="G6" t="s">
        <v>34</v>
      </c>
      <c r="H6" s="2">
        <v>5</v>
      </c>
      <c r="J6" t="s">
        <v>653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</row>
    <row r="7" spans="1:20" x14ac:dyDescent="0.25">
      <c r="A7" t="s">
        <v>76</v>
      </c>
      <c r="B7" s="2">
        <v>10</v>
      </c>
      <c r="D7" t="s">
        <v>218</v>
      </c>
      <c r="E7" s="2">
        <v>3</v>
      </c>
      <c r="G7" t="s">
        <v>128</v>
      </c>
      <c r="H7" s="2">
        <v>5</v>
      </c>
      <c r="J7" t="s">
        <v>637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748</v>
      </c>
      <c r="T7" s="2">
        <v>4</v>
      </c>
    </row>
    <row r="8" spans="1:20" x14ac:dyDescent="0.25">
      <c r="A8" t="s">
        <v>46</v>
      </c>
      <c r="B8" s="2">
        <v>8</v>
      </c>
      <c r="D8" t="s">
        <v>178</v>
      </c>
      <c r="E8" s="2">
        <v>3</v>
      </c>
      <c r="G8" t="s">
        <v>344</v>
      </c>
      <c r="H8" s="2">
        <v>5</v>
      </c>
      <c r="J8" t="s">
        <v>649</v>
      </c>
      <c r="K8" s="2">
        <v>1</v>
      </c>
      <c r="M8" t="s">
        <v>220</v>
      </c>
      <c r="N8" s="2">
        <v>6</v>
      </c>
      <c r="P8" s="20">
        <v>2008</v>
      </c>
      <c r="Q8" s="2">
        <v>11</v>
      </c>
      <c r="S8" t="s">
        <v>501</v>
      </c>
      <c r="T8" s="2">
        <v>3</v>
      </c>
    </row>
    <row r="9" spans="1:20" x14ac:dyDescent="0.25">
      <c r="A9" t="s">
        <v>633</v>
      </c>
      <c r="B9" s="2">
        <v>7</v>
      </c>
      <c r="D9" t="s">
        <v>500</v>
      </c>
      <c r="E9" s="2">
        <v>3</v>
      </c>
      <c r="G9" t="s">
        <v>578</v>
      </c>
      <c r="H9" s="2">
        <v>4</v>
      </c>
      <c r="J9" t="s">
        <v>361</v>
      </c>
      <c r="K9" s="2">
        <v>1</v>
      </c>
      <c r="M9" t="s">
        <v>136</v>
      </c>
      <c r="N9" s="2">
        <v>4</v>
      </c>
      <c r="P9" s="20">
        <v>2010</v>
      </c>
      <c r="Q9" s="2">
        <v>11</v>
      </c>
      <c r="S9" t="s">
        <v>393</v>
      </c>
      <c r="T9" s="2">
        <v>3</v>
      </c>
    </row>
    <row r="10" spans="1:20" x14ac:dyDescent="0.25">
      <c r="A10" t="s">
        <v>205</v>
      </c>
      <c r="B10" s="2">
        <v>6</v>
      </c>
      <c r="D10" t="s">
        <v>241</v>
      </c>
      <c r="E10" s="2">
        <v>3</v>
      </c>
      <c r="G10" t="s">
        <v>269</v>
      </c>
      <c r="H10" s="2">
        <v>4</v>
      </c>
      <c r="J10" t="s">
        <v>542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179</v>
      </c>
      <c r="T10" s="2">
        <v>3</v>
      </c>
    </row>
    <row r="11" spans="1:20" x14ac:dyDescent="0.25">
      <c r="A11" t="s">
        <v>364</v>
      </c>
      <c r="B11" s="2">
        <v>4</v>
      </c>
      <c r="D11" t="s">
        <v>230</v>
      </c>
      <c r="E11" s="2">
        <v>2</v>
      </c>
      <c r="G11" t="s">
        <v>381</v>
      </c>
      <c r="H11" s="2">
        <v>4</v>
      </c>
      <c r="M11" t="s">
        <v>124</v>
      </c>
      <c r="N11" s="2">
        <v>3</v>
      </c>
      <c r="P11" s="20">
        <v>2007</v>
      </c>
      <c r="Q11" s="2">
        <v>9</v>
      </c>
      <c r="S11" t="s">
        <v>244</v>
      </c>
      <c r="T11" s="2">
        <v>2</v>
      </c>
    </row>
    <row r="12" spans="1:20" x14ac:dyDescent="0.25">
      <c r="A12" t="s">
        <v>171</v>
      </c>
      <c r="B12" s="2">
        <v>4</v>
      </c>
      <c r="D12" t="s">
        <v>127</v>
      </c>
      <c r="E12" s="2">
        <v>2</v>
      </c>
      <c r="G12" t="s">
        <v>278</v>
      </c>
      <c r="H12" s="2">
        <v>3</v>
      </c>
      <c r="M12" t="s">
        <v>239</v>
      </c>
      <c r="N12" s="2">
        <v>2</v>
      </c>
      <c r="P12" s="20">
        <v>2009</v>
      </c>
      <c r="Q12" s="2">
        <v>7</v>
      </c>
      <c r="S12" t="s">
        <v>196</v>
      </c>
      <c r="T12" s="2">
        <v>2</v>
      </c>
    </row>
    <row r="13" spans="1:20" x14ac:dyDescent="0.25">
      <c r="A13" t="s">
        <v>379</v>
      </c>
      <c r="B13" s="2">
        <v>4</v>
      </c>
      <c r="D13" t="s">
        <v>224</v>
      </c>
      <c r="E13" s="2">
        <v>2</v>
      </c>
      <c r="G13" t="s">
        <v>78</v>
      </c>
      <c r="H13" s="2">
        <v>3</v>
      </c>
      <c r="M13" t="s">
        <v>113</v>
      </c>
      <c r="N13" s="2">
        <v>2</v>
      </c>
      <c r="P13" s="20">
        <v>2016</v>
      </c>
      <c r="Q13" s="2">
        <v>6</v>
      </c>
      <c r="S13" t="s">
        <v>252</v>
      </c>
      <c r="T13" s="2">
        <v>2</v>
      </c>
    </row>
    <row r="14" spans="1:20" x14ac:dyDescent="0.25">
      <c r="A14" t="s">
        <v>282</v>
      </c>
      <c r="B14" s="2">
        <v>4</v>
      </c>
      <c r="D14" t="s">
        <v>33</v>
      </c>
      <c r="E14" s="2">
        <v>2</v>
      </c>
      <c r="G14" t="s">
        <v>375</v>
      </c>
      <c r="H14" s="2">
        <v>3</v>
      </c>
      <c r="M14" t="s">
        <v>228</v>
      </c>
      <c r="N14" s="2">
        <v>2</v>
      </c>
      <c r="P14" s="20">
        <v>2017</v>
      </c>
      <c r="Q14" s="2">
        <v>6</v>
      </c>
      <c r="S14" t="s">
        <v>226</v>
      </c>
      <c r="T14" s="2">
        <v>2</v>
      </c>
    </row>
    <row r="15" spans="1:20" x14ac:dyDescent="0.25">
      <c r="A15" t="s">
        <v>576</v>
      </c>
      <c r="B15" s="2">
        <v>4</v>
      </c>
      <c r="D15" t="s">
        <v>634</v>
      </c>
      <c r="E15" s="2">
        <v>2</v>
      </c>
      <c r="G15" t="s">
        <v>95</v>
      </c>
      <c r="H15" s="2">
        <v>3</v>
      </c>
      <c r="M15" t="s">
        <v>232</v>
      </c>
      <c r="N15" s="2">
        <v>2</v>
      </c>
      <c r="P15" s="20">
        <v>2005</v>
      </c>
      <c r="Q15" s="2">
        <v>4</v>
      </c>
      <c r="S15" t="s">
        <v>20</v>
      </c>
      <c r="T15" s="2">
        <v>1</v>
      </c>
    </row>
    <row r="16" spans="1:20" x14ac:dyDescent="0.25">
      <c r="A16" t="s">
        <v>53</v>
      </c>
      <c r="B16" s="2">
        <v>3</v>
      </c>
      <c r="D16" t="s">
        <v>121</v>
      </c>
      <c r="E16" s="2">
        <v>2</v>
      </c>
      <c r="G16" t="s">
        <v>195</v>
      </c>
      <c r="H16" s="2">
        <v>3</v>
      </c>
      <c r="M16" t="s">
        <v>530</v>
      </c>
      <c r="N16" s="2">
        <v>1</v>
      </c>
      <c r="P16" s="20" t="s">
        <v>579</v>
      </c>
      <c r="Q16" s="2">
        <v>4</v>
      </c>
      <c r="S16" t="s">
        <v>131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630</v>
      </c>
      <c r="H17" s="2">
        <v>3</v>
      </c>
      <c r="M17" t="s">
        <v>424</v>
      </c>
      <c r="N17" s="2">
        <v>1</v>
      </c>
      <c r="P17" s="20">
        <v>2003</v>
      </c>
      <c r="Q17" s="2">
        <v>4</v>
      </c>
      <c r="S17" t="s">
        <v>680</v>
      </c>
      <c r="T17" s="2">
        <v>1</v>
      </c>
    </row>
    <row r="18" spans="1:20" x14ac:dyDescent="0.25">
      <c r="A18" t="s">
        <v>411</v>
      </c>
      <c r="B18" s="2">
        <v>3</v>
      </c>
      <c r="D18" t="s">
        <v>380</v>
      </c>
      <c r="E18" s="2">
        <v>2</v>
      </c>
      <c r="G18" t="s">
        <v>634</v>
      </c>
      <c r="H18" s="2">
        <v>2</v>
      </c>
      <c r="M18" t="s">
        <v>318</v>
      </c>
      <c r="N18" s="2">
        <v>1</v>
      </c>
      <c r="P18" s="20">
        <v>2006</v>
      </c>
      <c r="Q18" s="2">
        <v>4</v>
      </c>
      <c r="S18" t="s">
        <v>137</v>
      </c>
      <c r="T18" s="2">
        <v>1</v>
      </c>
    </row>
    <row r="19" spans="1:20" x14ac:dyDescent="0.25">
      <c r="A19" t="s">
        <v>132</v>
      </c>
      <c r="B19" s="2">
        <v>3</v>
      </c>
      <c r="D19" t="s">
        <v>161</v>
      </c>
      <c r="E19" s="2">
        <v>2</v>
      </c>
      <c r="G19" t="s">
        <v>427</v>
      </c>
      <c r="H19" s="2">
        <v>2</v>
      </c>
      <c r="M19" t="s">
        <v>60</v>
      </c>
      <c r="N19" s="2">
        <v>1</v>
      </c>
      <c r="P19" s="20" t="s">
        <v>541</v>
      </c>
      <c r="Q19" s="2">
        <v>3</v>
      </c>
      <c r="S19" t="s">
        <v>89</v>
      </c>
      <c r="T19" s="2">
        <v>1</v>
      </c>
    </row>
    <row r="20" spans="1:20" x14ac:dyDescent="0.25">
      <c r="A20" t="s">
        <v>656</v>
      </c>
      <c r="B20" s="2">
        <v>2</v>
      </c>
      <c r="D20" t="s">
        <v>642</v>
      </c>
      <c r="E20" s="2">
        <v>2</v>
      </c>
      <c r="G20" t="s">
        <v>134</v>
      </c>
      <c r="H20" s="2">
        <v>2</v>
      </c>
      <c r="M20" t="s">
        <v>469</v>
      </c>
      <c r="N20" s="2">
        <v>1</v>
      </c>
      <c r="P20" s="20">
        <v>2001</v>
      </c>
      <c r="Q20" s="2">
        <v>3</v>
      </c>
      <c r="S20" t="s">
        <v>685</v>
      </c>
      <c r="T20" s="2">
        <v>1</v>
      </c>
    </row>
    <row r="21" spans="1:20" x14ac:dyDescent="0.25">
      <c r="A21" t="s">
        <v>199</v>
      </c>
      <c r="B21" s="2">
        <v>2</v>
      </c>
      <c r="D21" t="s">
        <v>486</v>
      </c>
      <c r="E21" s="2">
        <v>2</v>
      </c>
      <c r="G21" t="s">
        <v>243</v>
      </c>
      <c r="H21" s="2">
        <v>2</v>
      </c>
      <c r="M21" t="s">
        <v>24</v>
      </c>
      <c r="N21" s="2">
        <v>1</v>
      </c>
      <c r="P21" s="20">
        <v>1994</v>
      </c>
      <c r="Q21" s="2">
        <v>3</v>
      </c>
      <c r="S21" t="s">
        <v>270</v>
      </c>
      <c r="T21" s="2">
        <v>1</v>
      </c>
    </row>
    <row r="22" spans="1:20" x14ac:dyDescent="0.25">
      <c r="A22" t="s">
        <v>608</v>
      </c>
      <c r="B22" s="2">
        <v>2</v>
      </c>
      <c r="D22" t="s">
        <v>461</v>
      </c>
      <c r="E22" s="2">
        <v>2</v>
      </c>
      <c r="G22" t="s">
        <v>516</v>
      </c>
      <c r="H22" s="2">
        <v>2</v>
      </c>
      <c r="M22" t="s">
        <v>176</v>
      </c>
      <c r="N22" s="2">
        <v>1</v>
      </c>
      <c r="P22" s="20">
        <v>1998</v>
      </c>
      <c r="Q22" s="2">
        <v>3</v>
      </c>
      <c r="S22" t="s">
        <v>437</v>
      </c>
      <c r="T22" s="2">
        <v>1</v>
      </c>
    </row>
    <row r="23" spans="1:20" x14ac:dyDescent="0.25">
      <c r="A23" t="s">
        <v>523</v>
      </c>
      <c r="B23" s="2">
        <v>2</v>
      </c>
      <c r="D23" t="s">
        <v>449</v>
      </c>
      <c r="E23" s="2">
        <v>1</v>
      </c>
      <c r="G23" t="s">
        <v>145</v>
      </c>
      <c r="H23" s="2">
        <v>2</v>
      </c>
      <c r="M23" t="s">
        <v>293</v>
      </c>
      <c r="N23" s="2">
        <v>1</v>
      </c>
      <c r="P23" s="20" t="s">
        <v>140</v>
      </c>
      <c r="Q23" s="2">
        <v>2</v>
      </c>
      <c r="S23" t="s">
        <v>520</v>
      </c>
      <c r="T23" s="2">
        <v>1</v>
      </c>
    </row>
    <row r="24" spans="1:20" x14ac:dyDescent="0.25">
      <c r="A24" t="s">
        <v>334</v>
      </c>
      <c r="B24" s="2">
        <v>2</v>
      </c>
      <c r="D24" t="s">
        <v>538</v>
      </c>
      <c r="E24" s="2">
        <v>1</v>
      </c>
      <c r="G24" t="s">
        <v>644</v>
      </c>
      <c r="H24" s="2">
        <v>2</v>
      </c>
      <c r="P24" s="20">
        <v>1982</v>
      </c>
      <c r="Q24" s="2">
        <v>1</v>
      </c>
      <c r="S24" t="s">
        <v>656</v>
      </c>
      <c r="T24" s="2">
        <v>1</v>
      </c>
    </row>
    <row r="25" spans="1:20" x14ac:dyDescent="0.25">
      <c r="A25" t="s">
        <v>472</v>
      </c>
      <c r="B25" s="2">
        <v>1</v>
      </c>
      <c r="D25" t="s">
        <v>273</v>
      </c>
      <c r="E25" s="2">
        <v>1</v>
      </c>
      <c r="G25" t="s">
        <v>173</v>
      </c>
      <c r="H25" s="2">
        <v>2</v>
      </c>
      <c r="P25" s="20">
        <v>1986</v>
      </c>
      <c r="Q25" s="2">
        <v>1</v>
      </c>
      <c r="S25" t="s">
        <v>158</v>
      </c>
      <c r="T25" s="2">
        <v>1</v>
      </c>
    </row>
    <row r="26" spans="1:20" x14ac:dyDescent="0.25">
      <c r="A26" t="s">
        <v>403</v>
      </c>
      <c r="B26" s="2">
        <v>1</v>
      </c>
      <c r="D26" t="s">
        <v>434</v>
      </c>
      <c r="E26" s="2">
        <v>1</v>
      </c>
      <c r="G26" t="s">
        <v>151</v>
      </c>
      <c r="H26" s="2">
        <v>2</v>
      </c>
      <c r="P26" s="20">
        <v>1971</v>
      </c>
      <c r="Q26" s="2">
        <v>1</v>
      </c>
      <c r="S26" t="s">
        <v>604</v>
      </c>
      <c r="T26" s="2">
        <v>1</v>
      </c>
    </row>
    <row r="27" spans="1:20" x14ac:dyDescent="0.25">
      <c r="A27" t="s">
        <v>617</v>
      </c>
      <c r="B27" s="2">
        <v>1</v>
      </c>
      <c r="D27" t="s">
        <v>648</v>
      </c>
      <c r="E27" s="2">
        <v>1</v>
      </c>
      <c r="G27" t="s">
        <v>139</v>
      </c>
      <c r="H27" s="2">
        <v>2</v>
      </c>
      <c r="P27" s="20">
        <v>1995</v>
      </c>
      <c r="Q27" s="2">
        <v>1</v>
      </c>
      <c r="S27" t="s">
        <v>116</v>
      </c>
      <c r="T27" s="2">
        <v>1</v>
      </c>
    </row>
    <row r="28" spans="1:20" x14ac:dyDescent="0.25">
      <c r="A28" t="s">
        <v>532</v>
      </c>
      <c r="B28" s="2">
        <v>1</v>
      </c>
      <c r="D28" t="s">
        <v>237</v>
      </c>
      <c r="E28" s="2">
        <v>1</v>
      </c>
      <c r="G28" t="s">
        <v>117</v>
      </c>
      <c r="H28" s="2">
        <v>2</v>
      </c>
      <c r="P28" s="20">
        <v>2002</v>
      </c>
      <c r="Q28" s="2">
        <v>1</v>
      </c>
      <c r="S28" t="s">
        <v>146</v>
      </c>
      <c r="T28" s="2">
        <v>1</v>
      </c>
    </row>
    <row r="29" spans="1:20" x14ac:dyDescent="0.25">
      <c r="A29" t="s">
        <v>567</v>
      </c>
      <c r="B29" s="2">
        <v>1</v>
      </c>
      <c r="D29" t="s">
        <v>652</v>
      </c>
      <c r="E29" s="2">
        <v>1</v>
      </c>
      <c r="G29" t="s">
        <v>284</v>
      </c>
      <c r="H29" s="2">
        <v>2</v>
      </c>
      <c r="P29" s="20" t="s">
        <v>258</v>
      </c>
      <c r="Q29" s="2">
        <v>1</v>
      </c>
      <c r="S29" t="s">
        <v>360</v>
      </c>
      <c r="T29" s="2">
        <v>1</v>
      </c>
    </row>
    <row r="30" spans="1:20" x14ac:dyDescent="0.25">
      <c r="A30" t="s">
        <v>694</v>
      </c>
      <c r="B30" s="2">
        <v>1</v>
      </c>
      <c r="D30" t="s">
        <v>568</v>
      </c>
      <c r="E30" s="2">
        <v>1</v>
      </c>
      <c r="G30" t="s">
        <v>207</v>
      </c>
      <c r="H30" s="2">
        <v>2</v>
      </c>
      <c r="P30" s="20" t="s">
        <v>174</v>
      </c>
      <c r="Q30" s="2">
        <v>1</v>
      </c>
    </row>
    <row r="31" spans="1:20" x14ac:dyDescent="0.25">
      <c r="A31" t="s">
        <v>601</v>
      </c>
      <c r="B31" s="2">
        <v>1</v>
      </c>
      <c r="D31" t="s">
        <v>154</v>
      </c>
      <c r="E31" s="2">
        <v>1</v>
      </c>
      <c r="G31" t="s">
        <v>291</v>
      </c>
      <c r="H31" s="2">
        <v>2</v>
      </c>
      <c r="P31" s="20">
        <v>1987</v>
      </c>
      <c r="Q31" s="2">
        <v>1</v>
      </c>
    </row>
    <row r="32" spans="1:20" x14ac:dyDescent="0.25">
      <c r="A32" t="s">
        <v>115</v>
      </c>
      <c r="B32" s="2">
        <v>1</v>
      </c>
      <c r="D32" t="s">
        <v>613</v>
      </c>
      <c r="E32" s="2">
        <v>1</v>
      </c>
      <c r="G32" t="s">
        <v>251</v>
      </c>
      <c r="H32" s="2">
        <v>2</v>
      </c>
      <c r="P32" s="20">
        <v>2004</v>
      </c>
      <c r="Q32" s="2">
        <v>1</v>
      </c>
    </row>
    <row r="33" spans="1:17" x14ac:dyDescent="0.25">
      <c r="A33" t="s">
        <v>628</v>
      </c>
      <c r="B33" s="2">
        <v>1</v>
      </c>
      <c r="D33" t="s">
        <v>552</v>
      </c>
      <c r="E33" s="2">
        <v>1</v>
      </c>
      <c r="G33" t="s">
        <v>331</v>
      </c>
      <c r="H33" s="2">
        <v>2</v>
      </c>
      <c r="P33" s="20">
        <v>1991</v>
      </c>
      <c r="Q33" s="2">
        <v>1</v>
      </c>
    </row>
    <row r="34" spans="1:17" x14ac:dyDescent="0.25">
      <c r="A34" t="s">
        <v>109</v>
      </c>
      <c r="B34" s="2">
        <v>1</v>
      </c>
      <c r="D34" t="s">
        <v>71</v>
      </c>
      <c r="E34" s="2">
        <v>1</v>
      </c>
      <c r="G34" t="s">
        <v>490</v>
      </c>
      <c r="H34" s="2">
        <v>1</v>
      </c>
      <c r="P34" s="20">
        <v>1984</v>
      </c>
      <c r="Q34" s="2">
        <v>1</v>
      </c>
    </row>
    <row r="35" spans="1:17" x14ac:dyDescent="0.25">
      <c r="A35" t="s">
        <v>551</v>
      </c>
      <c r="B35" s="2">
        <v>1</v>
      </c>
      <c r="D35" t="s">
        <v>206</v>
      </c>
      <c r="E35" s="2">
        <v>1</v>
      </c>
      <c r="F35" s="12"/>
      <c r="G35" t="s">
        <v>625</v>
      </c>
      <c r="H35" s="2">
        <v>1</v>
      </c>
      <c r="I35" s="12"/>
      <c r="J35" s="12"/>
      <c r="K35" s="12"/>
      <c r="P35" s="20" t="s">
        <v>598</v>
      </c>
      <c r="Q35" s="2">
        <v>1</v>
      </c>
    </row>
    <row r="36" spans="1:17" x14ac:dyDescent="0.25">
      <c r="A36" t="s">
        <v>70</v>
      </c>
      <c r="B36" s="2">
        <v>1</v>
      </c>
      <c r="D36" t="s">
        <v>200</v>
      </c>
      <c r="E36" s="2">
        <v>1</v>
      </c>
      <c r="G36" t="s">
        <v>564</v>
      </c>
      <c r="H36" s="2">
        <v>1</v>
      </c>
      <c r="P36" s="20">
        <v>1999</v>
      </c>
      <c r="Q36" s="2">
        <v>1</v>
      </c>
    </row>
    <row r="37" spans="1:17" x14ac:dyDescent="0.25">
      <c r="A37" t="s">
        <v>81</v>
      </c>
      <c r="B37" s="2">
        <v>1</v>
      </c>
      <c r="D37" t="s">
        <v>559</v>
      </c>
      <c r="E37" s="2">
        <v>1</v>
      </c>
      <c r="G37" t="s">
        <v>187</v>
      </c>
      <c r="H37" s="2">
        <v>1</v>
      </c>
      <c r="P37" s="20">
        <v>2000</v>
      </c>
      <c r="Q37" s="2">
        <v>1</v>
      </c>
    </row>
    <row r="38" spans="1:17" x14ac:dyDescent="0.25">
      <c r="A38" t="s">
        <v>373</v>
      </c>
      <c r="B38" s="2">
        <v>1</v>
      </c>
      <c r="D38" t="s">
        <v>211</v>
      </c>
      <c r="E38" s="2">
        <v>1</v>
      </c>
      <c r="G38" t="s">
        <v>191</v>
      </c>
      <c r="H38" s="2">
        <v>1</v>
      </c>
    </row>
    <row r="39" spans="1:17" x14ac:dyDescent="0.25">
      <c r="A39" t="s">
        <v>21</v>
      </c>
      <c r="B39" s="2">
        <v>1</v>
      </c>
      <c r="D39" t="s">
        <v>524</v>
      </c>
      <c r="E39" s="2">
        <v>1</v>
      </c>
      <c r="G39" t="s">
        <v>257</v>
      </c>
      <c r="H39" s="2">
        <v>1</v>
      </c>
    </row>
    <row r="40" spans="1:17" x14ac:dyDescent="0.25">
      <c r="A40" t="s">
        <v>236</v>
      </c>
      <c r="B40" s="2">
        <v>1</v>
      </c>
      <c r="D40" t="s">
        <v>457</v>
      </c>
      <c r="E40" s="2">
        <v>1</v>
      </c>
      <c r="G40" t="s">
        <v>540</v>
      </c>
      <c r="H40" s="2">
        <v>1</v>
      </c>
    </row>
    <row r="41" spans="1:17" x14ac:dyDescent="0.25">
      <c r="A41" t="s">
        <v>92</v>
      </c>
      <c r="B41" s="2">
        <v>1</v>
      </c>
      <c r="D41" t="s">
        <v>102</v>
      </c>
      <c r="E41" s="2">
        <v>1</v>
      </c>
      <c r="G41" t="s">
        <v>261</v>
      </c>
      <c r="H41" s="2">
        <v>1</v>
      </c>
    </row>
    <row r="42" spans="1:17" x14ac:dyDescent="0.25">
      <c r="A42" t="s">
        <v>433</v>
      </c>
      <c r="B42" s="2">
        <v>1</v>
      </c>
      <c r="D42" t="s">
        <v>264</v>
      </c>
      <c r="E42" s="2">
        <v>1</v>
      </c>
      <c r="G42" t="s">
        <v>603</v>
      </c>
      <c r="H42" s="2">
        <v>1</v>
      </c>
    </row>
    <row r="43" spans="1:17" x14ac:dyDescent="0.25">
      <c r="A43" t="s">
        <v>623</v>
      </c>
      <c r="B43" s="2">
        <v>1</v>
      </c>
      <c r="D43" t="s">
        <v>375</v>
      </c>
      <c r="E43" s="2">
        <v>1</v>
      </c>
      <c r="G43" t="s">
        <v>88</v>
      </c>
      <c r="H43" s="2">
        <v>1</v>
      </c>
    </row>
    <row r="44" spans="1:17" x14ac:dyDescent="0.25">
      <c r="A44" t="s">
        <v>661</v>
      </c>
      <c r="B44" s="2">
        <v>1</v>
      </c>
      <c r="D44" t="s">
        <v>348</v>
      </c>
      <c r="E44" s="2">
        <v>1</v>
      </c>
      <c r="G44" t="s">
        <v>436</v>
      </c>
      <c r="H44" s="2">
        <v>1</v>
      </c>
    </row>
    <row r="45" spans="1:17" x14ac:dyDescent="0.25">
      <c r="A45" t="s">
        <v>384</v>
      </c>
      <c r="B45" s="2">
        <v>1</v>
      </c>
      <c r="D45" t="s">
        <v>678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476</v>
      </c>
      <c r="E46" s="2">
        <v>1</v>
      </c>
      <c r="G46" t="s">
        <v>477</v>
      </c>
      <c r="H46" s="2">
        <v>1</v>
      </c>
    </row>
    <row r="47" spans="1:17" x14ac:dyDescent="0.25">
      <c r="A47" t="s">
        <v>537</v>
      </c>
      <c r="B47" s="2">
        <v>1</v>
      </c>
      <c r="D47" t="s">
        <v>27</v>
      </c>
      <c r="E47" s="2">
        <v>1</v>
      </c>
      <c r="G47" t="s">
        <v>19</v>
      </c>
      <c r="H47" s="2">
        <v>1</v>
      </c>
    </row>
    <row r="48" spans="1:17" x14ac:dyDescent="0.25">
      <c r="A48" t="s">
        <v>670</v>
      </c>
      <c r="B48" s="2">
        <v>1</v>
      </c>
      <c r="D48" t="s">
        <v>519</v>
      </c>
      <c r="E48" s="2">
        <v>1</v>
      </c>
      <c r="G48" t="s">
        <v>83</v>
      </c>
      <c r="H48" s="2">
        <v>1</v>
      </c>
    </row>
    <row r="49" spans="1:8" x14ac:dyDescent="0.25">
      <c r="A49" t="s">
        <v>347</v>
      </c>
      <c r="B49" s="2">
        <v>1</v>
      </c>
      <c r="D49" t="s">
        <v>404</v>
      </c>
      <c r="E49" s="2">
        <v>1</v>
      </c>
      <c r="G49" t="s">
        <v>103</v>
      </c>
      <c r="H49" s="2">
        <v>1</v>
      </c>
    </row>
    <row r="50" spans="1:8" x14ac:dyDescent="0.25">
      <c r="A50" t="s">
        <v>444</v>
      </c>
      <c r="B50" s="2">
        <v>1</v>
      </c>
      <c r="D50" t="s">
        <v>466</v>
      </c>
      <c r="E50" s="2">
        <v>1</v>
      </c>
      <c r="G50" t="s">
        <v>553</v>
      </c>
      <c r="H50" s="2">
        <v>1</v>
      </c>
    </row>
    <row r="51" spans="1:8" x14ac:dyDescent="0.25">
      <c r="A51" t="s">
        <v>42</v>
      </c>
      <c r="B51" s="2">
        <v>1</v>
      </c>
      <c r="D51" t="s">
        <v>283</v>
      </c>
      <c r="E51" s="2">
        <v>1</v>
      </c>
      <c r="G51" t="s">
        <v>299</v>
      </c>
      <c r="H51" s="2">
        <v>1</v>
      </c>
    </row>
    <row r="52" spans="1:8" x14ac:dyDescent="0.25">
      <c r="D52" t="s">
        <v>365</v>
      </c>
      <c r="E52" s="2">
        <v>1</v>
      </c>
      <c r="G52" t="s">
        <v>589</v>
      </c>
      <c r="H52" s="2">
        <v>1</v>
      </c>
    </row>
    <row r="53" spans="1:8" x14ac:dyDescent="0.25">
      <c r="D53" t="s">
        <v>194</v>
      </c>
      <c r="E53" s="2">
        <v>1</v>
      </c>
      <c r="G53" t="s">
        <v>303</v>
      </c>
      <c r="H53" s="2">
        <v>1</v>
      </c>
    </row>
    <row r="54" spans="1:8" x14ac:dyDescent="0.25">
      <c r="D54" t="s">
        <v>563</v>
      </c>
      <c r="E54" s="2">
        <v>1</v>
      </c>
      <c r="G54" t="s">
        <v>614</v>
      </c>
      <c r="H54" s="2">
        <v>1</v>
      </c>
    </row>
    <row r="55" spans="1:8" x14ac:dyDescent="0.25">
      <c r="D55" t="s">
        <v>106</v>
      </c>
      <c r="E55" s="2">
        <v>1</v>
      </c>
      <c r="G55" t="s">
        <v>324</v>
      </c>
      <c r="H55" s="2">
        <v>1</v>
      </c>
    </row>
    <row r="56" spans="1:8" x14ac:dyDescent="0.25">
      <c r="D56" t="s">
        <v>689</v>
      </c>
      <c r="E56" s="2">
        <v>1</v>
      </c>
      <c r="G56" t="s">
        <v>168</v>
      </c>
      <c r="H56" s="2">
        <v>1</v>
      </c>
    </row>
    <row r="57" spans="1:8" x14ac:dyDescent="0.25">
      <c r="D57" t="s">
        <v>445</v>
      </c>
      <c r="E57" s="2">
        <v>1</v>
      </c>
      <c r="G57" t="s">
        <v>421</v>
      </c>
      <c r="H57" s="2">
        <v>1</v>
      </c>
    </row>
    <row r="58" spans="1:8" x14ac:dyDescent="0.25">
      <c r="D58" t="s">
        <v>267</v>
      </c>
      <c r="E58" s="2">
        <v>1</v>
      </c>
      <c r="G58" t="s">
        <v>446</v>
      </c>
      <c r="H58" s="2">
        <v>1</v>
      </c>
    </row>
    <row r="59" spans="1:8" x14ac:dyDescent="0.25">
      <c r="D59" t="s">
        <v>190</v>
      </c>
      <c r="E59" s="2">
        <v>1</v>
      </c>
      <c r="G59" t="s">
        <v>99</v>
      </c>
      <c r="H59" s="2">
        <v>1</v>
      </c>
    </row>
    <row r="60" spans="1:8" x14ac:dyDescent="0.25">
      <c r="D60" t="s">
        <v>54</v>
      </c>
      <c r="E60" s="2">
        <v>1</v>
      </c>
      <c r="G60" t="s">
        <v>472</v>
      </c>
      <c r="H60" s="2">
        <v>1</v>
      </c>
    </row>
    <row r="61" spans="1:8" x14ac:dyDescent="0.25">
      <c r="D61" t="s">
        <v>420</v>
      </c>
      <c r="E61" s="2">
        <v>1</v>
      </c>
      <c r="G61" t="s">
        <v>658</v>
      </c>
      <c r="H61" s="2">
        <v>1</v>
      </c>
    </row>
    <row r="62" spans="1:8" x14ac:dyDescent="0.25">
      <c r="D62" t="s">
        <v>369</v>
      </c>
      <c r="E62" s="2">
        <v>1</v>
      </c>
      <c r="G62" t="s">
        <v>487</v>
      </c>
      <c r="H62" s="2">
        <v>1</v>
      </c>
    </row>
    <row r="63" spans="1:8" x14ac:dyDescent="0.25">
      <c r="D63" t="s">
        <v>276</v>
      </c>
      <c r="E63" s="2">
        <v>1</v>
      </c>
      <c r="G63" t="s">
        <v>675</v>
      </c>
      <c r="H63" s="2">
        <v>1</v>
      </c>
    </row>
    <row r="64" spans="1:8" x14ac:dyDescent="0.25">
      <c r="D64" t="s">
        <v>629</v>
      </c>
      <c r="E64" s="2">
        <v>1</v>
      </c>
      <c r="G64" t="s">
        <v>509</v>
      </c>
      <c r="H64" s="2">
        <v>1</v>
      </c>
    </row>
    <row r="65" spans="4:8" x14ac:dyDescent="0.25">
      <c r="D65" t="s">
        <v>16</v>
      </c>
      <c r="E65" s="2">
        <v>1</v>
      </c>
      <c r="G65" t="s">
        <v>684</v>
      </c>
      <c r="H65" s="2">
        <v>1</v>
      </c>
    </row>
    <row r="66" spans="4:8" x14ac:dyDescent="0.25">
      <c r="D66" t="s">
        <v>671</v>
      </c>
      <c r="E66" s="2">
        <v>1</v>
      </c>
      <c r="G66" t="s">
        <v>534</v>
      </c>
      <c r="H66" s="2">
        <v>1</v>
      </c>
    </row>
    <row r="67" spans="4:8" x14ac:dyDescent="0.25">
      <c r="D67" t="s">
        <v>592</v>
      </c>
      <c r="E67" s="2">
        <v>1</v>
      </c>
      <c r="G67" t="s">
        <v>696</v>
      </c>
      <c r="H67" s="2">
        <v>1</v>
      </c>
    </row>
    <row r="68" spans="4:8" x14ac:dyDescent="0.25">
      <c r="D68" t="s">
        <v>430</v>
      </c>
      <c r="E68" s="2">
        <v>1</v>
      </c>
      <c r="G68" t="s">
        <v>547</v>
      </c>
      <c r="H68" s="2">
        <v>1</v>
      </c>
    </row>
    <row r="69" spans="4:8" x14ac:dyDescent="0.25">
      <c r="D69" t="s">
        <v>62</v>
      </c>
      <c r="E69" s="2">
        <v>1</v>
      </c>
      <c r="G69" t="s">
        <v>359</v>
      </c>
      <c r="H69" s="2">
        <v>1</v>
      </c>
    </row>
    <row r="70" spans="4:8" x14ac:dyDescent="0.25">
      <c r="D70" t="s">
        <v>515</v>
      </c>
      <c r="E70" s="2">
        <v>1</v>
      </c>
      <c r="G70" t="s">
        <v>560</v>
      </c>
      <c r="H70" s="2">
        <v>1</v>
      </c>
    </row>
    <row r="71" spans="4:8" x14ac:dyDescent="0.25">
      <c r="D71" t="s">
        <v>408</v>
      </c>
      <c r="E71" s="2">
        <v>1</v>
      </c>
      <c r="G71" t="s">
        <v>366</v>
      </c>
      <c r="H71" s="2">
        <v>1</v>
      </c>
    </row>
    <row r="72" spans="4:8" x14ac:dyDescent="0.25">
      <c r="D72" t="s">
        <v>508</v>
      </c>
      <c r="E72" s="2">
        <v>1</v>
      </c>
      <c r="G72" t="s">
        <v>111</v>
      </c>
      <c r="H72" s="2">
        <v>1</v>
      </c>
    </row>
    <row r="73" spans="4:8" x14ac:dyDescent="0.25">
      <c r="D73" t="s">
        <v>528</v>
      </c>
      <c r="E73" s="2">
        <v>1</v>
      </c>
      <c r="G73" t="s">
        <v>370</v>
      </c>
      <c r="H73" s="2">
        <v>1</v>
      </c>
    </row>
    <row r="74" spans="4:8" x14ac:dyDescent="0.25">
      <c r="D74" t="s">
        <v>440</v>
      </c>
      <c r="E74" s="2">
        <v>1</v>
      </c>
      <c r="G74" t="s">
        <v>597</v>
      </c>
      <c r="H74" s="2">
        <v>1</v>
      </c>
    </row>
    <row r="75" spans="4:8" x14ac:dyDescent="0.25">
      <c r="D75" t="s">
        <v>388</v>
      </c>
      <c r="E75" s="2">
        <v>1</v>
      </c>
      <c r="G75" t="s">
        <v>43</v>
      </c>
      <c r="H75" s="2">
        <v>1</v>
      </c>
    </row>
    <row r="76" spans="4:8" x14ac:dyDescent="0.25">
      <c r="D76" t="s">
        <v>315</v>
      </c>
      <c r="E76" s="2">
        <v>1</v>
      </c>
      <c r="G76" t="s">
        <v>610</v>
      </c>
      <c r="H76" s="2">
        <v>1</v>
      </c>
    </row>
    <row r="77" spans="4:8" x14ac:dyDescent="0.25">
      <c r="D77" t="s">
        <v>657</v>
      </c>
      <c r="E77" s="2">
        <v>1</v>
      </c>
      <c r="G77" t="s">
        <v>73</v>
      </c>
      <c r="H77" s="2">
        <v>1</v>
      </c>
    </row>
    <row r="78" spans="4:8" x14ac:dyDescent="0.25">
      <c r="D78" t="s">
        <v>609</v>
      </c>
      <c r="E78" s="2">
        <v>1</v>
      </c>
      <c r="G78" t="s">
        <v>620</v>
      </c>
      <c r="H78" s="2">
        <v>1</v>
      </c>
    </row>
    <row r="79" spans="4:8" x14ac:dyDescent="0.25">
      <c r="D79" t="s">
        <v>695</v>
      </c>
      <c r="E79" s="2">
        <v>1</v>
      </c>
      <c r="G79" t="s">
        <v>405</v>
      </c>
      <c r="H79" s="2">
        <v>1</v>
      </c>
    </row>
    <row r="80" spans="4:8" x14ac:dyDescent="0.25">
      <c r="D80" t="s">
        <v>143</v>
      </c>
      <c r="E80" s="2">
        <v>1</v>
      </c>
      <c r="G80" t="s">
        <v>212</v>
      </c>
      <c r="H80" s="2">
        <v>1</v>
      </c>
    </row>
    <row r="81" spans="4:8" x14ac:dyDescent="0.25">
      <c r="D81" t="s">
        <v>116</v>
      </c>
      <c r="E81" s="2">
        <v>1</v>
      </c>
      <c r="G81" t="s">
        <v>417</v>
      </c>
      <c r="H81" s="2">
        <v>1</v>
      </c>
    </row>
    <row r="82" spans="4:8" x14ac:dyDescent="0.25">
      <c r="D82" t="s">
        <v>493</v>
      </c>
      <c r="E82" s="2">
        <v>1</v>
      </c>
      <c r="G82" t="s">
        <v>162</v>
      </c>
      <c r="H82" s="2">
        <v>1</v>
      </c>
    </row>
    <row r="83" spans="4:8" x14ac:dyDescent="0.25">
      <c r="D83" t="s">
        <v>77</v>
      </c>
      <c r="E83" s="2">
        <v>1</v>
      </c>
      <c r="G83" t="s">
        <v>648</v>
      </c>
      <c r="H83" s="2">
        <v>1</v>
      </c>
    </row>
    <row r="84" spans="4:8" x14ac:dyDescent="0.25">
      <c r="D84" t="s">
        <v>256</v>
      </c>
      <c r="E84" s="2">
        <v>1</v>
      </c>
      <c r="G84" t="s">
        <v>336</v>
      </c>
      <c r="H84" s="2">
        <v>1</v>
      </c>
    </row>
    <row r="85" spans="4:8" x14ac:dyDescent="0.25">
      <c r="D85" t="s">
        <v>172</v>
      </c>
      <c r="E85" s="2">
        <v>1</v>
      </c>
      <c r="G85" t="s">
        <v>663</v>
      </c>
      <c r="H85" s="2">
        <v>1</v>
      </c>
    </row>
    <row r="86" spans="4:8" x14ac:dyDescent="0.25">
      <c r="D86" t="s">
        <v>302</v>
      </c>
      <c r="E86" s="2">
        <v>1</v>
      </c>
      <c r="G86" t="s">
        <v>340</v>
      </c>
      <c r="H86" s="2">
        <v>1</v>
      </c>
    </row>
    <row r="87" spans="4:8" x14ac:dyDescent="0.25">
      <c r="D87" t="s">
        <v>290</v>
      </c>
      <c r="E87" s="2">
        <v>1</v>
      </c>
      <c r="G87" t="s">
        <v>679</v>
      </c>
      <c r="H87" s="2">
        <v>1</v>
      </c>
    </row>
    <row r="88" spans="4:8" x14ac:dyDescent="0.25">
      <c r="D88" t="s">
        <v>572</v>
      </c>
      <c r="E88" s="2">
        <v>1</v>
      </c>
      <c r="G88">
        <v>34</v>
      </c>
      <c r="H88" s="2">
        <v>1</v>
      </c>
    </row>
    <row r="89" spans="4:8" x14ac:dyDescent="0.25">
      <c r="D89" t="s">
        <v>150</v>
      </c>
      <c r="E89" s="2">
        <v>1</v>
      </c>
      <c r="G89" t="s">
        <v>691</v>
      </c>
      <c r="H89" s="2">
        <v>1</v>
      </c>
    </row>
    <row r="90" spans="4:8" x14ac:dyDescent="0.25">
      <c r="D90" t="s">
        <v>330</v>
      </c>
      <c r="E90" s="2">
        <v>1</v>
      </c>
      <c r="G90" t="s">
        <v>349</v>
      </c>
      <c r="H90" s="2">
        <v>1</v>
      </c>
    </row>
    <row r="91" spans="4:8" x14ac:dyDescent="0.25">
      <c r="D91" t="s">
        <v>335</v>
      </c>
      <c r="E91" s="2">
        <v>1</v>
      </c>
      <c r="G91" t="s">
        <v>48</v>
      </c>
      <c r="H91" s="2">
        <v>1</v>
      </c>
    </row>
    <row r="92" spans="4:8" x14ac:dyDescent="0.25">
      <c r="D92" t="s">
        <v>533</v>
      </c>
      <c r="E92" s="2">
        <v>1</v>
      </c>
      <c r="G92" t="s">
        <v>353</v>
      </c>
      <c r="H92" s="2">
        <v>1</v>
      </c>
    </row>
    <row r="93" spans="4:8" x14ac:dyDescent="0.25">
      <c r="D93" t="s">
        <v>352</v>
      </c>
      <c r="E93" s="2">
        <v>1</v>
      </c>
    </row>
    <row r="94" spans="4:8" x14ac:dyDescent="0.25">
      <c r="D94" t="s">
        <v>588</v>
      </c>
      <c r="E94" s="2">
        <v>1</v>
      </c>
    </row>
    <row r="95" spans="4:8" x14ac:dyDescent="0.25">
      <c r="D95" t="s">
        <v>545</v>
      </c>
      <c r="E95" s="2">
        <v>1</v>
      </c>
    </row>
    <row r="96" spans="4:8" x14ac:dyDescent="0.25">
      <c r="D96" t="s">
        <v>683</v>
      </c>
      <c r="E96" s="2">
        <v>1</v>
      </c>
    </row>
    <row r="97" spans="4:5" x14ac:dyDescent="0.25">
      <c r="D97" t="s">
        <v>93</v>
      </c>
      <c r="E97" s="2">
        <v>1</v>
      </c>
    </row>
    <row r="98" spans="4:5" x14ac:dyDescent="0.25">
      <c r="D98" t="s">
        <v>356</v>
      </c>
      <c r="E98" s="2">
        <v>1</v>
      </c>
    </row>
    <row r="99" spans="4:5" x14ac:dyDescent="0.25">
      <c r="D99" t="s">
        <v>82</v>
      </c>
      <c r="E99" s="2">
        <v>1</v>
      </c>
    </row>
    <row r="100" spans="4:5" x14ac:dyDescent="0.25">
      <c r="D100" t="s">
        <v>247</v>
      </c>
      <c r="E100" s="2">
        <v>1</v>
      </c>
    </row>
    <row r="101" spans="4:5" x14ac:dyDescent="0.25">
      <c r="D101" t="s">
        <v>556</v>
      </c>
      <c r="E101" s="2">
        <v>1</v>
      </c>
    </row>
    <row r="102" spans="4:5" x14ac:dyDescent="0.25">
      <c r="D102" t="s">
        <v>167</v>
      </c>
      <c r="E102" s="2">
        <v>1</v>
      </c>
    </row>
    <row r="103" spans="4:5" x14ac:dyDescent="0.25">
      <c r="D103" t="s">
        <v>662</v>
      </c>
      <c r="E103" s="2">
        <v>1</v>
      </c>
    </row>
    <row r="104" spans="4:5" x14ac:dyDescent="0.25">
      <c r="D104" t="s">
        <v>618</v>
      </c>
      <c r="E104" s="2">
        <v>1</v>
      </c>
    </row>
    <row r="105" spans="4:5" x14ac:dyDescent="0.25">
      <c r="D105" t="s">
        <v>412</v>
      </c>
      <c r="E105" s="2">
        <v>1</v>
      </c>
    </row>
    <row r="106" spans="4:5" x14ac:dyDescent="0.25">
      <c r="D106" t="s">
        <v>306</v>
      </c>
      <c r="E106" s="2">
        <v>1</v>
      </c>
    </row>
    <row r="107" spans="4:5" x14ac:dyDescent="0.25">
      <c r="D107" t="s">
        <v>674</v>
      </c>
      <c r="E107" s="2">
        <v>1</v>
      </c>
    </row>
    <row r="108" spans="4:5" x14ac:dyDescent="0.25">
      <c r="D108" t="s">
        <v>453</v>
      </c>
      <c r="E108" s="2">
        <v>1</v>
      </c>
    </row>
    <row r="109" spans="4:5" x14ac:dyDescent="0.25">
      <c r="D109" t="s">
        <v>133</v>
      </c>
      <c r="E109" s="2">
        <v>1</v>
      </c>
    </row>
    <row r="110" spans="4:5" x14ac:dyDescent="0.25">
      <c r="D110" t="s">
        <v>426</v>
      </c>
      <c r="E110" s="2">
        <v>1</v>
      </c>
    </row>
    <row r="111" spans="4:5" x14ac:dyDescent="0.25">
      <c r="D111" t="s">
        <v>186</v>
      </c>
      <c r="E111" s="2">
        <v>1</v>
      </c>
    </row>
    <row r="112" spans="4:5" x14ac:dyDescent="0.25">
      <c r="D112" t="s">
        <v>110</v>
      </c>
      <c r="E112" s="2">
        <v>1</v>
      </c>
    </row>
    <row r="113" spans="4:5" x14ac:dyDescent="0.25">
      <c r="D113" t="s">
        <v>43</v>
      </c>
      <c r="E113" s="2">
        <v>1</v>
      </c>
    </row>
    <row r="114" spans="4:5" x14ac:dyDescent="0.25">
      <c r="D114" t="s">
        <v>323</v>
      </c>
      <c r="E114" s="2">
        <v>1</v>
      </c>
    </row>
    <row r="115" spans="4:5" x14ac:dyDescent="0.25">
      <c r="D115" t="s">
        <v>98</v>
      </c>
      <c r="E115" s="2">
        <v>1</v>
      </c>
    </row>
    <row r="116" spans="4:5" x14ac:dyDescent="0.25">
      <c r="D116" t="s">
        <v>295</v>
      </c>
      <c r="E116" s="2">
        <v>1</v>
      </c>
    </row>
    <row r="117" spans="4:5" x14ac:dyDescent="0.25">
      <c r="D117" t="s">
        <v>47</v>
      </c>
      <c r="E117" s="2">
        <v>1</v>
      </c>
    </row>
    <row r="118" spans="4:5" x14ac:dyDescent="0.25">
      <c r="D118" t="s">
        <v>471</v>
      </c>
      <c r="E118" s="2">
        <v>1</v>
      </c>
    </row>
    <row r="119" spans="4:5" x14ac:dyDescent="0.25">
      <c r="D119" t="s">
        <v>480</v>
      </c>
      <c r="E119" s="2">
        <v>1</v>
      </c>
    </row>
    <row r="120" spans="4:5" x14ac:dyDescent="0.25">
      <c r="D120" t="s">
        <v>343</v>
      </c>
      <c r="E120" s="2">
        <v>1</v>
      </c>
    </row>
    <row r="121" spans="4:5" x14ac:dyDescent="0.25">
      <c r="D121" t="s">
        <v>602</v>
      </c>
      <c r="E121" s="2">
        <v>1</v>
      </c>
    </row>
    <row r="122" spans="4:5" x14ac:dyDescent="0.25">
      <c r="D122" t="s">
        <v>215</v>
      </c>
      <c r="E122" s="2">
        <v>1</v>
      </c>
    </row>
    <row r="123" spans="4:5" x14ac:dyDescent="0.25">
      <c r="D123" t="s">
        <v>624</v>
      </c>
      <c r="E123" s="2">
        <v>1</v>
      </c>
    </row>
    <row r="124" spans="4:5" x14ac:dyDescent="0.25">
      <c r="D124" t="s">
        <v>416</v>
      </c>
      <c r="E124" s="2">
        <v>1</v>
      </c>
    </row>
    <row r="125" spans="4:5" x14ac:dyDescent="0.25">
      <c r="D125" t="s">
        <v>374</v>
      </c>
      <c r="E125" s="2">
        <v>1</v>
      </c>
    </row>
    <row r="126" spans="4:5" x14ac:dyDescent="0.25">
      <c r="D126" t="s">
        <v>311</v>
      </c>
      <c r="E126" s="2">
        <v>1</v>
      </c>
    </row>
    <row r="127" spans="4:5" x14ac:dyDescent="0.25">
      <c r="D127" t="s">
        <v>667</v>
      </c>
      <c r="E127" s="2">
        <v>1</v>
      </c>
    </row>
    <row r="128" spans="4:5" x14ac:dyDescent="0.25">
      <c r="D128" t="s">
        <v>596</v>
      </c>
      <c r="E128" s="2">
        <v>1</v>
      </c>
    </row>
    <row r="129" spans="4:5" x14ac:dyDescent="0.25">
      <c r="D129" t="s">
        <v>339</v>
      </c>
      <c r="E129" s="2">
        <v>1</v>
      </c>
    </row>
    <row r="130" spans="4:5" x14ac:dyDescent="0.25">
      <c r="D130" t="s">
        <v>138</v>
      </c>
      <c r="E130" s="2">
        <v>1</v>
      </c>
    </row>
    <row r="131" spans="4:5" x14ac:dyDescent="0.25">
      <c r="D131" t="s">
        <v>512</v>
      </c>
      <c r="E131" s="2">
        <v>1</v>
      </c>
    </row>
    <row r="132" spans="4:5" x14ac:dyDescent="0.25">
      <c r="D132" t="s">
        <v>640</v>
      </c>
      <c r="E132" s="2">
        <v>1</v>
      </c>
    </row>
  </sheetData>
  <mergeCells count="1">
    <mergeCell ref="A1:C1"/>
  </mergeCells>
  <hyperlinks>
    <hyperlink ref="A1:C1" location="Dashboard!A1" display="DASHBOARD" xr:uid="{5CA28A17-2EFE-464B-9929-CBF66F39D02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Consulta</vt:lpstr>
      <vt:lpstr>Base de Dados</vt:lpstr>
      <vt:lpstr>Tabelas Dinâmicas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2021-02-07T23:00:59Z</dcterms:modified>
  <cp:category/>
  <cp:contentStatus/>
</cp:coreProperties>
</file>